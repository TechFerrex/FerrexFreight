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58396C4-1282-4164-84CC-868A1800579B}" xr6:coauthVersionLast="47" xr6:coauthVersionMax="47" xr10:uidLastSave="{00000000-0000-0000-0000-000000000000}"/>
  <bookViews>
    <workbookView xWindow="-120" yWindow="-120" windowWidth="20730" windowHeight="11160" xr2:uid="{36E8A2F8-D109-4891-A243-E0A4FE13BDEE}"/>
  </bookViews>
  <sheets>
    <sheet name="cementos,hierro,tub.pvc" sheetId="1" r:id="rId1"/>
    <sheet name="linea ferretera,elec" sheetId="2" r:id="rId2"/>
    <sheet name="electrico y herramientas" sheetId="3" r:id="rId3"/>
    <sheet name="elec y pvc" sheetId="4" r:id="rId4"/>
    <sheet name="pvc segundo precio y spray" sheetId="5" r:id="rId5"/>
    <sheet name="tornilleria " sheetId="6" r:id="rId6"/>
    <sheet name="mat.pend cotizar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6" l="1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N67" i="2"/>
  <c r="N68" i="2"/>
  <c r="N69" i="2"/>
  <c r="N66" i="2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3" i="3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D349" i="1"/>
  <c r="D350" i="1"/>
  <c r="D351" i="1"/>
  <c r="D352" i="1"/>
  <c r="D353" i="1"/>
  <c r="D354" i="1"/>
  <c r="D341" i="1"/>
  <c r="D342" i="1"/>
  <c r="D343" i="1"/>
  <c r="D344" i="1"/>
  <c r="D345" i="1"/>
  <c r="D346" i="1"/>
  <c r="D347" i="1"/>
  <c r="D348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232" i="1"/>
</calcChain>
</file>

<file path=xl/sharedStrings.xml><?xml version="1.0" encoding="utf-8"?>
<sst xmlns="http://schemas.openxmlformats.org/spreadsheetml/2006/main" count="1904" uniqueCount="1243">
  <si>
    <t>LISTA DE MATERIALES Y PRECIOS DE VENTA ACTUALIZADOS FERRETEROS 2026</t>
  </si>
  <si>
    <t>DESCRIPCION</t>
  </si>
  <si>
    <t>PRECIO VENTA</t>
  </si>
  <si>
    <t>CEMENTO BIJAO GU 42.5 KG</t>
  </si>
  <si>
    <t>CEMENTO BIJAO NORTE 42.5 KG</t>
  </si>
  <si>
    <t>CEMENTO WAN PENG 42.5 KG</t>
  </si>
  <si>
    <t>CEMENTO HONDURAS  42.5 KG</t>
  </si>
  <si>
    <t>CEMENTOS ARGOS</t>
  </si>
  <si>
    <t>VARILLAS</t>
  </si>
  <si>
    <t xml:space="preserve">CEMENTOS </t>
  </si>
  <si>
    <t>VARILLAS CORRUGADA 1/2 LEG 12.7 MM X 9 M G40</t>
  </si>
  <si>
    <t>VARILLAS CORRUGADA 3/4 X 9 M G40</t>
  </si>
  <si>
    <t>VARILLA CORRUGADA 3/8 LEG 9.5 MM X 9 M G40</t>
  </si>
  <si>
    <t>VARILLA CORRUGADA 5/8 LEG. X 9M G40</t>
  </si>
  <si>
    <t>VARILLA CORRUGADA 7.5 MM X 9 M70</t>
  </si>
  <si>
    <t>VARILLA CORRUGADA 8.0 MM 6 METROS  G40</t>
  </si>
  <si>
    <t>VARILLA CORRUGADA 8.0 MM X 9  G40</t>
  </si>
  <si>
    <t>VARILLA CUADRADA 1/2 X 6M</t>
  </si>
  <si>
    <t xml:space="preserve">VARILLA ENTORCHADA 1/2  X 6 M </t>
  </si>
  <si>
    <t>VARILLA LISA 1/2 LEG. X 9 M G40</t>
  </si>
  <si>
    <t>VARILLA LISA 1/4 5.5 MM  X 9 M G40</t>
  </si>
  <si>
    <t>VARILLA LISA 3/8 LEG. X 9 M G40</t>
  </si>
  <si>
    <t>VARILLA POLO TIERRA 1/2 X 5 S/GRAPA</t>
  </si>
  <si>
    <t>VARILLA POLO TIERRA 3/8  X 5 S/GRAPA</t>
  </si>
  <si>
    <t>VARILLA ROSCADA GALV.1/2 X 1 M</t>
  </si>
  <si>
    <t>VARILLA ROSCADA GALV.3/4 X 1 M</t>
  </si>
  <si>
    <t>VARILLA ROSCADA GALV.3/8 X 1 M</t>
  </si>
  <si>
    <t>VARILLA ROSCADA GALV.5/8 X 1 M</t>
  </si>
  <si>
    <t>LAMINA DE ALUZINC EST.NAT 0.30 MM X 6</t>
  </si>
  <si>
    <t>LAMINA DE ALUZINC EST.NAT 0.30 MM X 26</t>
  </si>
  <si>
    <t>LAMINA DE ALUZINC EST.NAT 0.30 MM X 24</t>
  </si>
  <si>
    <t>LAMINA DE ALUZINC EST.NAT 0.30 MM  X 10</t>
  </si>
  <si>
    <t>LAMINA DE ALUZINC EST.NAT 0.30 MM X 12</t>
  </si>
  <si>
    <t>LAMINA DE ALUZINC EST.NAT 0.30 MM X 13</t>
  </si>
  <si>
    <t>LAMINA DE ALUZINC EST.NAT 0.30 MM X 14</t>
  </si>
  <si>
    <t>LAMINA DE ALUZINC EST.NAT 0.30 MM X 15</t>
  </si>
  <si>
    <t>LAMINA DE ALUZINC EST.NAT 0.30 MM X 16</t>
  </si>
  <si>
    <t>LAMINA DE ALUZINC EST.NAT 0.30 MM X 17</t>
  </si>
  <si>
    <t>LAMINA DE ALUZINC EST.NAT 0.30 MM X 18</t>
  </si>
  <si>
    <t>LAMINA DE ALUZINC EST.NAT 0.30 MM X 19</t>
  </si>
  <si>
    <t>LAMINA DE ALUZINC EST.NAT 0.30 MM X 20</t>
  </si>
  <si>
    <t>LAMINA DE ALUZINC EST.NAT 0.30 MM X 21</t>
  </si>
  <si>
    <t>LAMINA DE ALUZINC EST.NAT 0.30 MM X 22</t>
  </si>
  <si>
    <t>LAMINA DE ALUZINC EST.NAT 0.30 MM X 23</t>
  </si>
  <si>
    <t>LAMINA DE ALUZINC EST.NAT 0.30 MM X PIE</t>
  </si>
  <si>
    <t>LAMINA DE ALUZINC EST.NAT 0.32 MM  X 10</t>
  </si>
  <si>
    <t>LAMINA DE ALUZINC EST.NAT 0.32 MM X 12</t>
  </si>
  <si>
    <t>LAMINA DE ALUZINC EST.NAT 0.32 MM X 13</t>
  </si>
  <si>
    <t>LAMINA DE ALUZINC EST.NAT 0.32 MM X 14</t>
  </si>
  <si>
    <t>LAMINA DE ALUZINC EST.NAT 0.32 MM X 15</t>
  </si>
  <si>
    <t>LAMINA DE ALUZINC EST.NAT 0.32 MM X 16</t>
  </si>
  <si>
    <t>LAMINA DE ALUZINC EST.NAT 0.32 MM X 17</t>
  </si>
  <si>
    <t>LAMINA DE ALUZINC EST.NAT 0.32  MM X 18</t>
  </si>
  <si>
    <t>LAMINA DE ALUZINC EST.NAT 0.32 MM X 19</t>
  </si>
  <si>
    <t>LAMINA DE ALUZINC EST.NAT 0.32 MM X 20</t>
  </si>
  <si>
    <t>LAMINA DE ALUZINC EST.NAT 0.32 MM X 21</t>
  </si>
  <si>
    <t>LAMINA DE ALUZINC EST.NAT 0.32 MM X 22</t>
  </si>
  <si>
    <t>LAMINA DE ALUZINC EST.NAT 0.32 MM X 23</t>
  </si>
  <si>
    <t>LAMINA DE ALUZINC EST.NAT 0.32 MM X 24</t>
  </si>
  <si>
    <t>LAMINA DE ALUZINC EST.NAT 0.34 MM  X 10</t>
  </si>
  <si>
    <t>LAMINA DE ALUZINC EST.NAT 0.34 MM X 12</t>
  </si>
  <si>
    <t>LAMINA DE ALUZINC EST.NAT 0.34 MM X 13</t>
  </si>
  <si>
    <t>LAMINA DE ALUZINC EST.NAT 0.34 MM X 14</t>
  </si>
  <si>
    <t>LAMINA DE ALUZINC EST.NAT 0.34 MM X 15</t>
  </si>
  <si>
    <t>LAMINA DE ALUZINC EST.NAT 0.34 MM X 16</t>
  </si>
  <si>
    <t>LAMINA DE ALUZINC EST.NAT 0.34 MM X 17</t>
  </si>
  <si>
    <t>LAMINA DE ALUZINC EST.NAT 0.34  MM X 18</t>
  </si>
  <si>
    <t>LAMINA DE ALUZINC EST.NAT 0.34 MM X 19</t>
  </si>
  <si>
    <t>LAMINA DE ALUZINC EST.NAT 0.34 MM X 20</t>
  </si>
  <si>
    <t>LAMINA DE ALUZINC EST.NAT 0.34 MM X 21</t>
  </si>
  <si>
    <t>LAMINA DE ALUZINC EST.NAT 0.34 MM X 22</t>
  </si>
  <si>
    <t>LAMINA DE ALUZINC EST.NAT 0.34 MM X 23</t>
  </si>
  <si>
    <t>LAMINA DE ALUZINC EST.NAT 0.34 MM X 24</t>
  </si>
  <si>
    <t>LAMINA DE ALUZINC EST.NAT 0.34 MM X 26</t>
  </si>
  <si>
    <t>LAMINA ALUZINC CALIBRE 26   .34</t>
  </si>
  <si>
    <t>LAMINA ALUZINC CALIBRE 26 .32</t>
  </si>
  <si>
    <t>LAMINAS DE ALUZINC CALIBRE 26 .30</t>
  </si>
  <si>
    <t>LAMINA ALUZINC CALIBRE 26   .40</t>
  </si>
  <si>
    <t>LAMINA DE ALUZINC EST.NAT 0.40 MM  X 10</t>
  </si>
  <si>
    <t>LAMINA DE ALUZINC EST.NAT 0.40 MM X 12</t>
  </si>
  <si>
    <t>LAMINA DE ALUZINC EST.NAT 0.40 MM X 13</t>
  </si>
  <si>
    <t>LAMINA DE ALUZINC EST.NAT 0.40 MM X 14</t>
  </si>
  <si>
    <t>LAMINA DE ALUZINC EST.NAT 0.40 MM X 15</t>
  </si>
  <si>
    <t>LAMINA DE ALUZINC EST.NAT 0.40 MM X 16</t>
  </si>
  <si>
    <t>LAMINA DE ALUZINC EST.NAT 0.40 MM X 17</t>
  </si>
  <si>
    <t>LAMINA DE ALUZINC EST.NAT 0.40  MM X 18</t>
  </si>
  <si>
    <t>LAMINA DE ALUZINC EST.NAT 0.40 MM X 19</t>
  </si>
  <si>
    <t>LAMINA DE ALUZINC EST.NAT 0.40 MM X 20</t>
  </si>
  <si>
    <t>LAMINA DE ALUZINC EST.NAT 0.40 MM X 21</t>
  </si>
  <si>
    <t>LAMINA DE ALUZINC EST.NAT 0.40 MM X 22</t>
  </si>
  <si>
    <t>LAMINA DE ALUZINC EST.NAT 0.40 MM X 23</t>
  </si>
  <si>
    <t>LAMINA DE ALUZINC EST.NAT 0.40 MM X 24</t>
  </si>
  <si>
    <t>LAMINA DE ALUZINC EST.NAT 0.40 MM X 26</t>
  </si>
  <si>
    <t>ALAMBRE DE AMARRE NEGRO CAL16 LB</t>
  </si>
  <si>
    <t xml:space="preserve">ALAMBRE DE AMARRE NEGRO CAL16 ROLLO 100 LBS </t>
  </si>
  <si>
    <t>ALAMBRE DE PUAS BRAHAMAN CAL 16 400 VARAS</t>
  </si>
  <si>
    <t>ALAMBRE  DE PUAS IOWA CAL 12 286 V</t>
  </si>
  <si>
    <t>ALAMBRE DE PUAS LA FINCA CAL 16 400 V</t>
  </si>
  <si>
    <t xml:space="preserve">ALAMBRE DE PUAS LINDERO CAL 16 400 V </t>
  </si>
  <si>
    <t>ALAMBRE GALV.CALIBRE 16 LB.</t>
  </si>
  <si>
    <t>ALAMBRE GALV.CALIBRE 16 ROLLO 100 LBS.</t>
  </si>
  <si>
    <t>TUBERIA GALVANIZADA</t>
  </si>
  <si>
    <t>TUBO GALV 1-1/2 X 1-1/2 1.80 MM CH 14 X 6 M</t>
  </si>
  <si>
    <t>TUBO GALV 1-1/4 X 1-1/4 1.50  MM CH 16 X 6 M</t>
  </si>
  <si>
    <t>TUBO GALV 1X1 1.80 MM CH 14 X 6M</t>
  </si>
  <si>
    <t>TUBO GALV 1X2 1.80 MM CH14 X 6M</t>
  </si>
  <si>
    <t xml:space="preserve">TUBO GALV  2X2 1.35 MM CH16 COM X 6 M </t>
  </si>
  <si>
    <t xml:space="preserve">TUBO GALV  2X2 1.50 MM CH16 X 6 M </t>
  </si>
  <si>
    <t>TUBO GALV 1-1/4 X 1-1/4 1.10  MM CH 18 COM X 6 M</t>
  </si>
  <si>
    <t>TUBO GALV 1-1/4 X 1-1/4 1.80 MM  CH14 X 6 M SEG</t>
  </si>
  <si>
    <t>TUBO GALV  2X2 1.80 MM CH14  X 6 M SEG</t>
  </si>
  <si>
    <t xml:space="preserve">TUBO GALV  2X2 1.80 MM CH14 X 6 M </t>
  </si>
  <si>
    <t xml:space="preserve">TUBO GALV 2X3 1.80 MM CH 14 X 6 M </t>
  </si>
  <si>
    <t xml:space="preserve">TUBO GALV 2X4 1.10 MM CH 18 X 6 M </t>
  </si>
  <si>
    <t>TUBO GALV 2X4 1.20 MM CH 18 X 6 M</t>
  </si>
  <si>
    <t>TUBO GALV 2X4 1.35 MM CH 16 COM X 6 M</t>
  </si>
  <si>
    <t>TUBO GALV 2X4 1.35 MM CH 16 COM X 6 M SEG</t>
  </si>
  <si>
    <t>TUBO GALV 2X4 1.80 MM CH14 X 6 M</t>
  </si>
  <si>
    <t>TUBO GALV 2X4 1.80 MM CH14 X 6 M SEG</t>
  </si>
  <si>
    <t xml:space="preserve">TUBO GALV 2X6 1.50 MM CH 16 X 6 M </t>
  </si>
  <si>
    <t>TUBO GALV 3X3 1.20 MMM CH 18 X 6 M</t>
  </si>
  <si>
    <t>TUBO GALV 3X3 1.50 MMM CH 16 X 6 M</t>
  </si>
  <si>
    <t>TUBO GALV 3X3 1.80 MMM CH 14 X 6 M</t>
  </si>
  <si>
    <t>TUBO GALV 3X3 1.80 MMM CH 14  X 6 M SEG</t>
  </si>
  <si>
    <t>TUBO GALV 3/4 X 3/4 1.00 MM CH18 X 6M</t>
  </si>
  <si>
    <t>TUBO GALV 3/4 X 3/4 1.50 MM CH16 X 6M</t>
  </si>
  <si>
    <t xml:space="preserve">TUBO GALV 4 X 4 1.50 MM CH 16 X 6 M </t>
  </si>
  <si>
    <t xml:space="preserve">TUBERIA PVC </t>
  </si>
  <si>
    <t>TUBO PVC 1/2 X 20  SDR-13.5</t>
  </si>
  <si>
    <t>TUBO PVC 1/2 X 20  SCH -40</t>
  </si>
  <si>
    <t>TUBO PVC 2 X 20 SDR-26</t>
  </si>
  <si>
    <t>TUBO PVC 1 X 20 SDR-26</t>
  </si>
  <si>
    <t>TUBO PVC 3 X 20 SDR-26</t>
  </si>
  <si>
    <t>TUBO PVC 4 X 20 SDR-26</t>
  </si>
  <si>
    <t>TUBO PVC 1-1/2 X 20  SDR-26</t>
  </si>
  <si>
    <t>TUBO PVC  1-1/4 X 20 SDR-26</t>
  </si>
  <si>
    <t>TUBO PVC 2 X 20 SDR-64</t>
  </si>
  <si>
    <t>TUBO PVC 3 X 20 SDR-64</t>
  </si>
  <si>
    <t>TUBO PVC 4 X 20 SDR-64</t>
  </si>
  <si>
    <t>TUBO PVC 6 X 20 SDR-64</t>
  </si>
  <si>
    <t>TUBO PVC 2 X 20 SDR-41</t>
  </si>
  <si>
    <t>TUBO PVC 3 X 20 SDR-41</t>
  </si>
  <si>
    <t>TUBO PVC 4 X 20 SDR-41</t>
  </si>
  <si>
    <t>TUBO PVC 6 X 20 SDR-41</t>
  </si>
  <si>
    <t>ACCESORIO DE PVC 1/2,3/4,1,1-1/4,1-1/2,2,3,4</t>
  </si>
  <si>
    <t>CODO DE 1/2 X 90 PVC LISO</t>
  </si>
  <si>
    <t>CODO DE 1/2 X 45 PVC LISO</t>
  </si>
  <si>
    <t>CODO DE 3/4 X 90 PVC LISO</t>
  </si>
  <si>
    <t>CODO DE 3/4 X 45 PVC LISO</t>
  </si>
  <si>
    <t>CODO DE 1 X 90 PVC LISO</t>
  </si>
  <si>
    <t>CODO DE 1 X 45 PVC LISO</t>
  </si>
  <si>
    <t>CODO DE 1-1/4 X 90 PVC LISO</t>
  </si>
  <si>
    <t>CODO DE 1-1/4 X 45 PVC LISO</t>
  </si>
  <si>
    <t>CODO DE 1-1/2 X 90 PVC LISO</t>
  </si>
  <si>
    <t>CODO DE 1-1/2 X 45 PVC LISO</t>
  </si>
  <si>
    <t>CODO DE PVC 2 X 90  DRENAJE INY.</t>
  </si>
  <si>
    <t>CODO DE PVC 2 X 45 DENAJE INY</t>
  </si>
  <si>
    <t>CODO DE PVC 3 X 90 DRENAJE INY</t>
  </si>
  <si>
    <t>CODO DE PVC 3 X 45 DRENAJE INY</t>
  </si>
  <si>
    <t xml:space="preserve">CODO DE PVC 3 X 90 POTABLE </t>
  </si>
  <si>
    <t xml:space="preserve">CODO DE PVC  2 X 45POTABLE </t>
  </si>
  <si>
    <t xml:space="preserve">CODO DEPVC  2 X 90 POTABLE </t>
  </si>
  <si>
    <t xml:space="preserve">CODO DE PVC 3 X 45 POTABLE </t>
  </si>
  <si>
    <t>CODO DE PVC 4 X 90 DRENAJE INY</t>
  </si>
  <si>
    <t>CODO HECHIZO 2X90 PVC</t>
  </si>
  <si>
    <t>CODO HECHIZO 2X45 PVC</t>
  </si>
  <si>
    <t>CODO HECHIZO  3X90 PVC</t>
  </si>
  <si>
    <t>CODO HECHIZO 3X45 PVC</t>
  </si>
  <si>
    <t>CODO HECHIZO 4X90 PVC</t>
  </si>
  <si>
    <t>CODO HECHIZO 4X45 PVC</t>
  </si>
  <si>
    <t>UNION LISA 1/2 PVC</t>
  </si>
  <si>
    <t>UNION LISA 3/4 PVC</t>
  </si>
  <si>
    <t>UNION LISA 1 PVC</t>
  </si>
  <si>
    <t>UNION LISA 1-1/4 PVC</t>
  </si>
  <si>
    <t>UNION LISA 1-1/2 PVC</t>
  </si>
  <si>
    <t>UNION LISA 2 PVC POTABLE</t>
  </si>
  <si>
    <t>UNION LISA 3 PVC DRENAJE INY</t>
  </si>
  <si>
    <t>UNION LISA 2 PVC DRENAJE INY</t>
  </si>
  <si>
    <t>UNION LISA 3 PVC POTBLE</t>
  </si>
  <si>
    <t>UNION LISA 4 PVC DRENAJE INY</t>
  </si>
  <si>
    <t>UNION LISA 4 PVC POTABLE</t>
  </si>
  <si>
    <t>CODO PVC C/ROSCA DE 1/2 X 90</t>
  </si>
  <si>
    <t>CODO PVC C/ROSCA DE 3/4 X 90</t>
  </si>
  <si>
    <t xml:space="preserve">TEE 1/2 LISA PVC </t>
  </si>
  <si>
    <t xml:space="preserve">TEE 3/4 LISA PVC </t>
  </si>
  <si>
    <t xml:space="preserve">TEE 1 LISA PVC </t>
  </si>
  <si>
    <t xml:space="preserve">TEE 1-1/2 LISA PVC </t>
  </si>
  <si>
    <t>TEE 2 LISA PVC DRENJE INY</t>
  </si>
  <si>
    <t>TEE 2 LISA PVC POTABLE</t>
  </si>
  <si>
    <t>TEE 3 LISA PVC DRENAJE INY</t>
  </si>
  <si>
    <t>TEE 3 LISA PVC POTABLE</t>
  </si>
  <si>
    <t>TEE 4 LISA PVC DRNAJEINY</t>
  </si>
  <si>
    <t>TEE 4 LISA PVC POTABLE</t>
  </si>
  <si>
    <t xml:space="preserve">ADAPT HEMBRA 1/2 PVC </t>
  </si>
  <si>
    <t xml:space="preserve">ADAPT HEMBRA 3/4 PVC </t>
  </si>
  <si>
    <t xml:space="preserve">ADAPT HEMBRA 1 PVC </t>
  </si>
  <si>
    <t xml:space="preserve">TEE 1-1/4  LISA PVC </t>
  </si>
  <si>
    <t xml:space="preserve">ADAPT HEMBRA 1 -1/4 PVC </t>
  </si>
  <si>
    <t xml:space="preserve">ADAPT HEMBRA 1-1/2 PVC </t>
  </si>
  <si>
    <t xml:space="preserve">ADAPT HEMBRA 2 PVC </t>
  </si>
  <si>
    <t xml:space="preserve">ADAPT HEMBRA 3 PVC </t>
  </si>
  <si>
    <t xml:space="preserve">ADAPT HEMBRA 4 PVC </t>
  </si>
  <si>
    <t xml:space="preserve">ADAPT MACHO 1/2 PVC </t>
  </si>
  <si>
    <t xml:space="preserve">ADAPT MACHO 3/4 PVC </t>
  </si>
  <si>
    <t xml:space="preserve">ADAPT MACHO 1 PVC </t>
  </si>
  <si>
    <t xml:space="preserve">ADAPT MACHO 1 -1/4 PVC </t>
  </si>
  <si>
    <t xml:space="preserve">ADAPT MACHO  1-1/2 PVC </t>
  </si>
  <si>
    <t xml:space="preserve">ADAPT MACHO 2 PVC </t>
  </si>
  <si>
    <t xml:space="preserve">ADAPT MACHO 3 PVC </t>
  </si>
  <si>
    <t xml:space="preserve">ADAPT MACHO 4 PVC </t>
  </si>
  <si>
    <t xml:space="preserve">TAPON LISO 1/2 PVC </t>
  </si>
  <si>
    <t xml:space="preserve">TAPON LISO 3/4 PVC </t>
  </si>
  <si>
    <t xml:space="preserve">TAPON LISO 1 PVC </t>
  </si>
  <si>
    <t xml:space="preserve">TAPON LISO 1-1/4 PVC </t>
  </si>
  <si>
    <t xml:space="preserve">TAPON LISO 1-1/2 PVC </t>
  </si>
  <si>
    <t>TAPON LISO 2  PVC DRENAJE INY</t>
  </si>
  <si>
    <t>TAPON LISO 2 PVC  POTABLE</t>
  </si>
  <si>
    <t>TAPON LISO 3  PVC DRENAJE INY</t>
  </si>
  <si>
    <t>TAPON LISO 3 PVC  POTABLE</t>
  </si>
  <si>
    <t>TAPON LISO 4  PVC DRENAJE INY</t>
  </si>
  <si>
    <t>TAPON LISO 4 PVC  POTABLE</t>
  </si>
  <si>
    <t>CURVAS 1/2 PVC</t>
  </si>
  <si>
    <t>CURVAS 3/4 PVC</t>
  </si>
  <si>
    <t xml:space="preserve">CURVAS 1 PVC </t>
  </si>
  <si>
    <t>UNION UNIVERAL 1  PVC</t>
  </si>
  <si>
    <t>UNION UNIVERAL 1/2  PVC</t>
  </si>
  <si>
    <t>UNION UNIVERAL   3/4 PVC</t>
  </si>
  <si>
    <t>UNION UNIVERAL 1-1/4 PVC</t>
  </si>
  <si>
    <t>UNION UNIVERAL 1-1/2  PVC</t>
  </si>
  <si>
    <t>UNION UNIVERAL 2 PVC</t>
  </si>
  <si>
    <t>UNION UNIVERAL 3 PVC</t>
  </si>
  <si>
    <t>UNION UNIVERAL 4 PVC</t>
  </si>
  <si>
    <t>UNION REPARACION 1/2  PVC</t>
  </si>
  <si>
    <t>UNION REPARACION   3/4 PVC</t>
  </si>
  <si>
    <t>UNION REPARACION 1  PVC</t>
  </si>
  <si>
    <t>UNION REPARACION 1-1/4 PVC</t>
  </si>
  <si>
    <t>UNION REPARACION 1-1/2  PVC</t>
  </si>
  <si>
    <t>UNION REPARACION 2 PVC</t>
  </si>
  <si>
    <t>UNION REPARACION 3 PVC</t>
  </si>
  <si>
    <t>UNION REPARACION 4 PVC</t>
  </si>
  <si>
    <t xml:space="preserve">PEGAMENTOS </t>
  </si>
  <si>
    <t xml:space="preserve">LLAVIN PELOTA </t>
  </si>
  <si>
    <t>C-000253</t>
  </si>
  <si>
    <t>LLAVIN PELOTA BLISTER PINAL C/LLAVE BONCE</t>
  </si>
  <si>
    <t>C-000216</t>
  </si>
  <si>
    <t>LLAVIN PELOTA BLISTER PINAL C/LLAVE DORADO</t>
  </si>
  <si>
    <t>C-000376</t>
  </si>
  <si>
    <t>LLAVIN PELOTA BLISTER PINAL C/LLAVE CROMO</t>
  </si>
  <si>
    <t>C-000080</t>
  </si>
  <si>
    <t>LLAVIN CHAPA/ MARIPOSA BRONCE  PINAL</t>
  </si>
  <si>
    <t>LLAVIN CHAPA/ MARIPOSA CROMO PINAL</t>
  </si>
  <si>
    <t>LLAVIN CHAPA/ MARIPOSA DORADO PINAL</t>
  </si>
  <si>
    <t>C-000780</t>
  </si>
  <si>
    <t>C-000368</t>
  </si>
  <si>
    <t>C-000863</t>
  </si>
  <si>
    <t>C-000334</t>
  </si>
  <si>
    <t>C-000550</t>
  </si>
  <si>
    <t>LLAVIN DE MANIVELA CROMO</t>
  </si>
  <si>
    <t>LLAVIN DE MANIVELA BRONCE</t>
  </si>
  <si>
    <t>LLAVIN DE MANIVELA DORADO</t>
  </si>
  <si>
    <t>C-000924</t>
  </si>
  <si>
    <t>C-000925</t>
  </si>
  <si>
    <t>C-0000091</t>
  </si>
  <si>
    <t>C-0001141</t>
  </si>
  <si>
    <t>C-0000092</t>
  </si>
  <si>
    <t>PASADOR MARIPOSA 2"PINAL</t>
  </si>
  <si>
    <t>PASADOR MARIPOSA 2-1/2" PINAL</t>
  </si>
  <si>
    <t>PASADOR MARIPOSA 3-1/2"PINAL</t>
  </si>
  <si>
    <t>PASADOR MARIPOSA 4" PINAL</t>
  </si>
  <si>
    <t>PASADOR MARIPOSA 3"PINAL</t>
  </si>
  <si>
    <t>C-001143</t>
  </si>
  <si>
    <t>C-001144</t>
  </si>
  <si>
    <t>PASADOR PORTA CANDADO PLANO 4" PINAL</t>
  </si>
  <si>
    <t>C-002056</t>
  </si>
  <si>
    <t>C-002059</t>
  </si>
  <si>
    <t>C-002060</t>
  </si>
  <si>
    <t>C-001920</t>
  </si>
  <si>
    <t>C-002061</t>
  </si>
  <si>
    <t>C-001921</t>
  </si>
  <si>
    <t>ALDABA DORADA C/TORNILLOS 2" ROKACRAFT</t>
  </si>
  <si>
    <t>ALDABA DORADA C/TORNILLOS 2-1/2" ROKACRAFT</t>
  </si>
  <si>
    <t>ALDABA DORADA C/TORNILLOS 3" ROKACRAFT</t>
  </si>
  <si>
    <t>ALDABA DORADA C/TORNILLOS 3-1/2" ROKACRAFT</t>
  </si>
  <si>
    <t>ALDABA DORADA C/TORNILLOS 4" ROKACRAFT</t>
  </si>
  <si>
    <t>ALDABA DORADA C/TORNILLOS 4-1/2" ROKACRAFT</t>
  </si>
  <si>
    <t>C-001179</t>
  </si>
  <si>
    <t>C-000010</t>
  </si>
  <si>
    <t>C-000607</t>
  </si>
  <si>
    <t>C-001386</t>
  </si>
  <si>
    <t>C-001387</t>
  </si>
  <si>
    <t>BISAGRA CHINA 4X4</t>
  </si>
  <si>
    <t>BISAGRA CHINA 3.5X3.5</t>
  </si>
  <si>
    <t>BISAGRA CHINA 3X3</t>
  </si>
  <si>
    <t>BISAGRA CHINA 2.5X2.5</t>
  </si>
  <si>
    <t>BISAGRA CHINA 1.5X1.5</t>
  </si>
  <si>
    <t>C-001333</t>
  </si>
  <si>
    <t>LLAVIN PUERTA RESIDENCIAL PLATA ROKACRAFT</t>
  </si>
  <si>
    <t>LLAVIN PUERTA RESIDENCIAL DORADO ROKACRAFT</t>
  </si>
  <si>
    <t>C-001334</t>
  </si>
  <si>
    <t>LLAVIN PUERTA RESIDENCIAL CROMO ROKACRAFT</t>
  </si>
  <si>
    <t>C-000849</t>
  </si>
  <si>
    <t>LLAVIN DOBLE SEGURO P/PORTON DERECHA ROKACRAFT</t>
  </si>
  <si>
    <t>C-000848</t>
  </si>
  <si>
    <t>LLAVIN DOBLE SEGURO P/PORTON IZQUIERDA  ROKACRAFT</t>
  </si>
  <si>
    <t>C-001336</t>
  </si>
  <si>
    <t>C-000099</t>
  </si>
  <si>
    <t>C-001024</t>
  </si>
  <si>
    <t>C-000339</t>
  </si>
  <si>
    <t>C-000340</t>
  </si>
  <si>
    <t>CANDADO BRONCE ROKACRAFT 20MM</t>
  </si>
  <si>
    <t>CANDADO BRONCE ROKACRAFT 30MM</t>
  </si>
  <si>
    <t>CANDADO BRONCE ROKACRAFT 40MM</t>
  </si>
  <si>
    <t>CANDADO BRONCE ROKACRAFT 50MM</t>
  </si>
  <si>
    <t>CANDADO BRONCE ROKACRAFT 60MM</t>
  </si>
  <si>
    <t>C-002115</t>
  </si>
  <si>
    <t xml:space="preserve">CANDADO CUELLO LARGO 40MM ROKACRAFT </t>
  </si>
  <si>
    <t>C-002116</t>
  </si>
  <si>
    <t>C-002117</t>
  </si>
  <si>
    <t xml:space="preserve">CANDADO CUELLO LARGO 50MM ROKACRAFT </t>
  </si>
  <si>
    <t xml:space="preserve">CANDADO CUELLO LARGO 60MM ROKACRAFT </t>
  </si>
  <si>
    <t>C-00023</t>
  </si>
  <si>
    <t>CANDADO ANTICORTE 70MM</t>
  </si>
  <si>
    <t>CANDADO ANTICORTE 80MM</t>
  </si>
  <si>
    <t>C-000977</t>
  </si>
  <si>
    <t>C-001671</t>
  </si>
  <si>
    <t>PASADOR PORTA CANDADO 3"</t>
  </si>
  <si>
    <t>PASADOR PORTA CANDADO 4"</t>
  </si>
  <si>
    <t>ABRAZADERA METAL E-M-T</t>
  </si>
  <si>
    <t>C-000207</t>
  </si>
  <si>
    <t>C-000208</t>
  </si>
  <si>
    <t>C-0000001</t>
  </si>
  <si>
    <t>C-000421</t>
  </si>
  <si>
    <t>C-000521</t>
  </si>
  <si>
    <t>C-001058</t>
  </si>
  <si>
    <t>C-0001059</t>
  </si>
  <si>
    <t>ABRAZADERA EMT 3"     12 UNIDADES</t>
  </si>
  <si>
    <t>ABRAZADERA EMT 2"      25UNIDADES</t>
  </si>
  <si>
    <t xml:space="preserve">ABRAZADERA EMT 1-1/4"  100 UNIDADES </t>
  </si>
  <si>
    <t xml:space="preserve">ABRAZADERA EMT 4" 50    </t>
  </si>
  <si>
    <t>ABRAZADERA EMT 1"  100 UNIDADES</t>
  </si>
  <si>
    <t xml:space="preserve">ABRAZADERA EMT 3/4" 250 UNIDADES </t>
  </si>
  <si>
    <t>ABRAZADERA EMT 1/2" 500 UNIDADES</t>
  </si>
  <si>
    <t>ABRAZADERA METAL DOBLE E-M-T</t>
  </si>
  <si>
    <t>ABRAZADERA DOBLE 1/2</t>
  </si>
  <si>
    <t>ABRAZADERA DOBLE 3/4</t>
  </si>
  <si>
    <t>ABRAZADERA DOBLE 2"</t>
  </si>
  <si>
    <t>ABRAZADERA DOBLE 3"</t>
  </si>
  <si>
    <t>ABRAZADERA DOBLE 4"</t>
  </si>
  <si>
    <t>C-000881</t>
  </si>
  <si>
    <t>C-000144</t>
  </si>
  <si>
    <t>C-001793</t>
  </si>
  <si>
    <t>C-001794</t>
  </si>
  <si>
    <t>C-001396</t>
  </si>
  <si>
    <t>C-000879</t>
  </si>
  <si>
    <t>C-000882</t>
  </si>
  <si>
    <t>C-000880</t>
  </si>
  <si>
    <t>C-000955</t>
  </si>
  <si>
    <t xml:space="preserve">ABRAZADERA REDONDA  DE 2" </t>
  </si>
  <si>
    <t xml:space="preserve">ABRAZADERA REDONDA  DE 3" </t>
  </si>
  <si>
    <t xml:space="preserve">ABRAZADERA REDONDA  DE 4" </t>
  </si>
  <si>
    <t xml:space="preserve">ABRAZADERA REDONDA  DE 5" </t>
  </si>
  <si>
    <t xml:space="preserve">ABRAZADERA REDONDA  DE 1-1/4" </t>
  </si>
  <si>
    <t xml:space="preserve">ABRAZADERA REDONDA  DE 1" </t>
  </si>
  <si>
    <t xml:space="preserve">ABRAZADERA REDONDA  DE 3/4" </t>
  </si>
  <si>
    <t xml:space="preserve">ABRAZADERA REDONDA  DE 1/2" </t>
  </si>
  <si>
    <t xml:space="preserve">ABRAZADERA REDONDA  DE 5/8" </t>
  </si>
  <si>
    <t>ABRAZADERAS REDONDA C/TORNILLO RANURADA METAL</t>
  </si>
  <si>
    <t xml:space="preserve">ABRAZADERA PVC DOBLE </t>
  </si>
  <si>
    <t>C-000677</t>
  </si>
  <si>
    <t>C-000536</t>
  </si>
  <si>
    <t>C-000537</t>
  </si>
  <si>
    <t>C-000538</t>
  </si>
  <si>
    <t>C-000539</t>
  </si>
  <si>
    <t>C-000540</t>
  </si>
  <si>
    <t>C-000821</t>
  </si>
  <si>
    <t>C-000820</t>
  </si>
  <si>
    <t>ARAZADERA PVC 1/2" DOBLE</t>
  </si>
  <si>
    <t>ARAZADERA PVC 3/4" DOBLE</t>
  </si>
  <si>
    <t>ARAZADERA PVC 1" DOBLE</t>
  </si>
  <si>
    <t>ARAZADERA PVC 1-1/4"DOBLE</t>
  </si>
  <si>
    <t>ARAZADERA PVC 1-1/2" DOBLE</t>
  </si>
  <si>
    <t>ARAZADERA PVC 2" DOBLE</t>
  </si>
  <si>
    <t>ARAZADERA PVC 3" DOBLE</t>
  </si>
  <si>
    <t>ARAZADERA PVC 4" DOBLE</t>
  </si>
  <si>
    <t>C-000003</t>
  </si>
  <si>
    <t>C-000002</t>
  </si>
  <si>
    <t>C-000353</t>
  </si>
  <si>
    <t>C-000562</t>
  </si>
  <si>
    <t>C-000563</t>
  </si>
  <si>
    <t>C-000954</t>
  </si>
  <si>
    <t>C-000564</t>
  </si>
  <si>
    <t>C-000526</t>
  </si>
  <si>
    <t>C-001562</t>
  </si>
  <si>
    <t>ABRAZADERA BLANCA DE 6"</t>
  </si>
  <si>
    <t>ABRAZADERA BLANCA DE 8"</t>
  </si>
  <si>
    <t>ABRAZADERA BLANCA DE 10"</t>
  </si>
  <si>
    <t>ABRAZADERA BLANCA DE 12"</t>
  </si>
  <si>
    <t>ABRAZADERA BLANCA DE 14"</t>
  </si>
  <si>
    <t>ABRAZADERA BLANCA DE 16"</t>
  </si>
  <si>
    <t>ABRAZADERA BLANCA DE 18"</t>
  </si>
  <si>
    <t>ABRAZADERA BLANCA DE 20"</t>
  </si>
  <si>
    <t>ABRAZADERA BLANCA DE 24"</t>
  </si>
  <si>
    <t>ABRAZADERA NEGRA DE 6"</t>
  </si>
  <si>
    <t>ABRAZADERA NEGRA DE 8"</t>
  </si>
  <si>
    <t>ABRAZADERA NEGRA DE 10"</t>
  </si>
  <si>
    <t>ABRAZADERA NEGRA DE 12"</t>
  </si>
  <si>
    <t>ABRAZADERA NEGRA DE 14"</t>
  </si>
  <si>
    <t>ABRAZADERA NEGRA DE 16"</t>
  </si>
  <si>
    <t>ABRAZADERA NEGRA DE 18"</t>
  </si>
  <si>
    <t>ABRAZADERA NEGRA DE 20"</t>
  </si>
  <si>
    <t>KIT EMPAQUE VOCAREL C/TORNILLOS P/SANITARIOS COFLEX</t>
  </si>
  <si>
    <t>C-000182</t>
  </si>
  <si>
    <t>C-001728</t>
  </si>
  <si>
    <t xml:space="preserve">KIT EMPAQUE VOCAREL C/TORNILLOS METAL P/SANITARIOS </t>
  </si>
  <si>
    <t>C-001729</t>
  </si>
  <si>
    <t xml:space="preserve">KIT EMPAQUE VOCAREL C/TORNILLOS PLAST P/SANITARIOS </t>
  </si>
  <si>
    <t>C-000559</t>
  </si>
  <si>
    <t>EMPAQUE VOCAREL SANITARIO COFLEX</t>
  </si>
  <si>
    <t>C-001251</t>
  </si>
  <si>
    <t>C-001252</t>
  </si>
  <si>
    <t>C-001253</t>
  </si>
  <si>
    <t>C-001254</t>
  </si>
  <si>
    <t>C-001461</t>
  </si>
  <si>
    <t>C-001462</t>
  </si>
  <si>
    <t>C-000194</t>
  </si>
  <si>
    <t>ASIENTO SANITARIO COFLEX CH-A200 COFLEX BLANCA</t>
  </si>
  <si>
    <t>ASIENTO SANITARIO COFLEX CH-A201 COFLEX BLANCA</t>
  </si>
  <si>
    <t>ASIENTO SANITARIO COFLEX ENLONGADO CH-A202 COFLEX BLANCA</t>
  </si>
  <si>
    <t>ASIENTO SANITARIO COFLEX ENLONGADO CH-A203 COFLEX BLANCA</t>
  </si>
  <si>
    <t>ASIENTO SANITARIO COFLEX ABIERTO CH-A100  COFLEX</t>
  </si>
  <si>
    <t>ASIENTO SANITARIO COFLEX ABIERTO CH-A101  COFLEX</t>
  </si>
  <si>
    <t>ASIENTO SANITARIO COFLEX ABIERTO CH-A102 ENLOGADO  COFLEX</t>
  </si>
  <si>
    <t>C-001302</t>
  </si>
  <si>
    <t>ACCESORIO COMPLETO SANITARIO COFLEX A-001</t>
  </si>
  <si>
    <t>C-000152</t>
  </si>
  <si>
    <t>ACCESORIO COMPLETO SANITARIO COFLEX CLASICO A-005</t>
  </si>
  <si>
    <t>C-000036</t>
  </si>
  <si>
    <t>CUELLO DE CERA SANITARIOCOFLEX PB-104</t>
  </si>
  <si>
    <t>C-000692</t>
  </si>
  <si>
    <t>C-000691</t>
  </si>
  <si>
    <t xml:space="preserve">SAPO P/SANITARIO AZUL COFLEX PB6025 </t>
  </si>
  <si>
    <t>SAPO P/SANITARIO TRANSPARENTE  COFLEX PB6025T</t>
  </si>
  <si>
    <t>C-001536</t>
  </si>
  <si>
    <t>SAPO SANITARIO AZULCOFLEX 3"P-B6036</t>
  </si>
  <si>
    <t>C-000626</t>
  </si>
  <si>
    <t>BRIDA FLEXIBLE LARGA P/ SANITARIO 4"PB-300</t>
  </si>
  <si>
    <t>C-000382</t>
  </si>
  <si>
    <t>C-000129</t>
  </si>
  <si>
    <t>TUBO ABASTO VINIL LAVABO 1/2X3/8 CVLB-B16</t>
  </si>
  <si>
    <t>TUBO ABASTO VINIL SANITARIO 7/8X3/8 CVSB-B16</t>
  </si>
  <si>
    <t>C-001222</t>
  </si>
  <si>
    <t>TUBO ABASTO SANITARIO ACERO EASK40 CON VALVULA C-001222</t>
  </si>
  <si>
    <t>C-001762</t>
  </si>
  <si>
    <t>TUBO ABASTO P/MONOMANDO COFLEX EVL M40</t>
  </si>
  <si>
    <t>C-001972</t>
  </si>
  <si>
    <t>C-000127</t>
  </si>
  <si>
    <t>TUBO ABASTO TIPO T DOBLE ACERO AL-U55 COFLEX</t>
  </si>
  <si>
    <t>C-001683</t>
  </si>
  <si>
    <t>TUBO ABASTO TIPO T DOBLE VINIL EVLB-U55 COFLEX</t>
  </si>
  <si>
    <t>C-001272</t>
  </si>
  <si>
    <t>VALVULA RECTA CIERRE RAPIDO IP-142 COFLEX</t>
  </si>
  <si>
    <t>C-001273</t>
  </si>
  <si>
    <t>VALVULA ANGULO CIERRE RAPIDO IP-143 COFLEX</t>
  </si>
  <si>
    <t>C-000695</t>
  </si>
  <si>
    <t>VALVULA RECTA CIERRE RAPIDO ROKACRAFT</t>
  </si>
  <si>
    <t>C-000932</t>
  </si>
  <si>
    <t>VALVULA ANGULO CIERRE RAPIDO CNCRAFTS</t>
  </si>
  <si>
    <t>C-000906</t>
  </si>
  <si>
    <t>C-000907</t>
  </si>
  <si>
    <t>VALVULA RECTA 1/2 X 3/8 ROKACRAFT PERILLA</t>
  </si>
  <si>
    <t>VALVULA ANGULAR 1/2 X 3/8 ROKACRAFT PERILLA</t>
  </si>
  <si>
    <t>C-000383</t>
  </si>
  <si>
    <t>VAALVULA ANGULAR DOBLE 3/8X3/8 IP-140 COFLEX</t>
  </si>
  <si>
    <t>C-000545</t>
  </si>
  <si>
    <t>DESRIPIADOR SANITARIO ROKACRAFT</t>
  </si>
  <si>
    <t>C-002070</t>
  </si>
  <si>
    <t>ABRAZADERA CON REDUCCION PVC  2 A 1/2</t>
  </si>
  <si>
    <t>C-002069</t>
  </si>
  <si>
    <t>C-002068</t>
  </si>
  <si>
    <t>C-002057</t>
  </si>
  <si>
    <t>ABRAZADERA CON REDUCCION PVC 2 A 3/4</t>
  </si>
  <si>
    <t>ABRAZADERA CON REDUCCION PVC 3  A 1/2</t>
  </si>
  <si>
    <t>ABRAZADERA CON REDUCCION PVC 4 A 1/2</t>
  </si>
  <si>
    <t>CONECTORES Y UNION EMT</t>
  </si>
  <si>
    <t>C-001421</t>
  </si>
  <si>
    <t>CONECTORES EMT 1/2"</t>
  </si>
  <si>
    <t>CONECTORES EMT 3/4"</t>
  </si>
  <si>
    <t>CONECTORES EMT 1"</t>
  </si>
  <si>
    <t>CONECTORES EMT 1-1/4"</t>
  </si>
  <si>
    <t>CONECTORES EMT 1-1/2"</t>
  </si>
  <si>
    <t>CONECTORES EMT 2"</t>
  </si>
  <si>
    <t>C-001422</t>
  </si>
  <si>
    <t>C-001423</t>
  </si>
  <si>
    <t>C-001424</t>
  </si>
  <si>
    <t>C-001425</t>
  </si>
  <si>
    <t>C-001426</t>
  </si>
  <si>
    <t>UNION EMT 1/2"</t>
  </si>
  <si>
    <t>UNION EMT 3/4"</t>
  </si>
  <si>
    <t>UNION EMT 1"</t>
  </si>
  <si>
    <t>UNION EMT 1-1/4"</t>
  </si>
  <si>
    <t>UNION EMT 1-1/2"</t>
  </si>
  <si>
    <t>UNION EMT 2"</t>
  </si>
  <si>
    <t>C-001427</t>
  </si>
  <si>
    <t>C-001428</t>
  </si>
  <si>
    <t>C-001429</t>
  </si>
  <si>
    <t>C-001430</t>
  </si>
  <si>
    <t>C-001431</t>
  </si>
  <si>
    <t>C-001432</t>
  </si>
  <si>
    <t>CONECTOR ROMEX 1/2</t>
  </si>
  <si>
    <t>CONECTOR ROMEX 3/4</t>
  </si>
  <si>
    <t>C-000857</t>
  </si>
  <si>
    <t>C-002073</t>
  </si>
  <si>
    <t>C-000840</t>
  </si>
  <si>
    <t>VASTAGO COMPLETO P/VALVULA BAÑO PERILLA METAL ROKACRAFT</t>
  </si>
  <si>
    <t>VASTAGO COMPLETO P/VALVULA BAÑO PERILLA ACRILICA ROKACRAFT</t>
  </si>
  <si>
    <t>C-001265</t>
  </si>
  <si>
    <t>PERILLA METAL P/VALVULA BAÑO ESTANDAR</t>
  </si>
  <si>
    <t xml:space="preserve">PERILLA ACRILICA P/VALVULA  BAÑO ESTANDAR </t>
  </si>
  <si>
    <t>C-000493</t>
  </si>
  <si>
    <t>C-000298</t>
  </si>
  <si>
    <t>C-001848</t>
  </si>
  <si>
    <t>REGADERA DUCHA C/BRAZO PW1101RK ROKACRAFT</t>
  </si>
  <si>
    <t>C-000674</t>
  </si>
  <si>
    <t>C-000098</t>
  </si>
  <si>
    <t>REGADERA DUCHA ECONOMICAC/BRAZO ROKACRAFT</t>
  </si>
  <si>
    <t>REGADERA DUCHA MEDIANA F-8529A ROKACRAFT</t>
  </si>
  <si>
    <t>C-00162</t>
  </si>
  <si>
    <t>C-001160</t>
  </si>
  <si>
    <t>DESAGUE REDONDO CROMADO 2" COFLEX PC-151</t>
  </si>
  <si>
    <t>DESAGUE REDONDO ACERO 2" COFLEX PC-152</t>
  </si>
  <si>
    <t>C-001163</t>
  </si>
  <si>
    <t>DESAGUE CUADRADO ACERO 2" COFLEX PC-162</t>
  </si>
  <si>
    <t>DESAGUE CUADRADO CROMADO 2" COFLEX PC-161</t>
  </si>
  <si>
    <t>C-001159</t>
  </si>
  <si>
    <t>C-001769</t>
  </si>
  <si>
    <t>C-001770</t>
  </si>
  <si>
    <t>VALVULA PVC 3" LISA P/NARANJA</t>
  </si>
  <si>
    <t>VALVULA PVC 4" LISA P/NARANJA</t>
  </si>
  <si>
    <t>VALVULA PVC 1/2" LISA P/NARANJA</t>
  </si>
  <si>
    <t>VALVULA PVC 3/4" LISA P/NARANJA</t>
  </si>
  <si>
    <t>VALVULA PVC 1" LISA P/NARANJA</t>
  </si>
  <si>
    <t>VALVULA PVC 1-1/4" LISA P/NARANJA</t>
  </si>
  <si>
    <t>VALVULA PVC 1-1/2" LISA P/NARANJA</t>
  </si>
  <si>
    <t>VALVULA PVC 2" LISA P/NARANJA</t>
  </si>
  <si>
    <t>C-001763</t>
  </si>
  <si>
    <t xml:space="preserve"> C-000288</t>
  </si>
  <si>
    <t>C-001765</t>
  </si>
  <si>
    <t>C-001767</t>
  </si>
  <si>
    <t>C-001772</t>
  </si>
  <si>
    <t>C-001768</t>
  </si>
  <si>
    <t>C-000661</t>
  </si>
  <si>
    <t>C-000418</t>
  </si>
  <si>
    <t>C-000366</t>
  </si>
  <si>
    <t>C-001694</t>
  </si>
  <si>
    <t>C-001695</t>
  </si>
  <si>
    <t>C-000946</t>
  </si>
  <si>
    <t>C-001826</t>
  </si>
  <si>
    <t>C-001827</t>
  </si>
  <si>
    <t xml:space="preserve">VALVULA 1/2" BRONCE CIERRE FACIL EURO </t>
  </si>
  <si>
    <t xml:space="preserve">VALVULA 3/4" BRONCE CIERRE FACIL EURO </t>
  </si>
  <si>
    <t xml:space="preserve">VALVULA  1" BRONCE CIERRE FACIL EURO </t>
  </si>
  <si>
    <t xml:space="preserve">VALVULA  1-1/4" BRONCE CIERRE FACIL EURO </t>
  </si>
  <si>
    <t xml:space="preserve">VALVULA  1-1/2" BRONCE CIERRE FACIL EURO </t>
  </si>
  <si>
    <t xml:space="preserve">VALVULA  2" BRONCE CIERRE FACIL EURO </t>
  </si>
  <si>
    <t xml:space="preserve">VALVULA  3" BRONCE CIERRE FACIL EURO </t>
  </si>
  <si>
    <t xml:space="preserve">VALVULA  4" BRONCE CIERRE FACIL EURO </t>
  </si>
  <si>
    <t>VALVULA CHECH 1/2 BRONCE</t>
  </si>
  <si>
    <t>C-000375</t>
  </si>
  <si>
    <t>C-000416</t>
  </si>
  <si>
    <t>C-000865</t>
  </si>
  <si>
    <t>C-001821</t>
  </si>
  <si>
    <t>C-001824</t>
  </si>
  <si>
    <t>C-001825</t>
  </si>
  <si>
    <t>VALVULA CHECH 3/4 BRONCE</t>
  </si>
  <si>
    <t>VALVULA CHECH 1 BRONCE</t>
  </si>
  <si>
    <t>VALVULA CHECH 1- 1/2 BRONCE</t>
  </si>
  <si>
    <t>C-000018</t>
  </si>
  <si>
    <t>C-001094</t>
  </si>
  <si>
    <t>C-001487</t>
  </si>
  <si>
    <t>BRIDA FLEXIBLE CORTA P/SANITARIO 4"</t>
  </si>
  <si>
    <t>BRIDA FLEXIBLE COFLEX 3" P/SANITARIO</t>
  </si>
  <si>
    <t>BRIDA FLEXIBLE COFLEX 4" P/SANITARIO</t>
  </si>
  <si>
    <t>C-001445</t>
  </si>
  <si>
    <t>C-001850</t>
  </si>
  <si>
    <t>LLAVE P /LAVATRASTO LUJO F-80099 ACERO SATINADO FLIEBEN</t>
  </si>
  <si>
    <t>LLAVE LAVATRASTO FLUJO FL114308 FLIEBEN</t>
  </si>
  <si>
    <t>C-001068</t>
  </si>
  <si>
    <t>LLAVE LAVATRASTO L-053 1 PERILLA PALANCA ROKACRAFT</t>
  </si>
  <si>
    <t>C-000365</t>
  </si>
  <si>
    <t>LLAVE DE LAVATRASTO PLASTICA ECONOMICAF-8204P</t>
  </si>
  <si>
    <t>C-001237</t>
  </si>
  <si>
    <t>LLAVE DE LAVATRASTO CRUZF-8258 ROKACRAFT</t>
  </si>
  <si>
    <t>C-001238</t>
  </si>
  <si>
    <t>LLAVE LAVATRASTO C/FLEXIBLE PALANCA F-8282</t>
  </si>
  <si>
    <t>C-001174</t>
  </si>
  <si>
    <t>LLAVE P/LAVABO DOBLE PALANCA F-41000 ROKACRAFT</t>
  </si>
  <si>
    <t>C-001378</t>
  </si>
  <si>
    <t>LLAVE P/LAVABO DOBLE METAL PALANCA F-42056 ROKACRAFT</t>
  </si>
  <si>
    <t>C-001390</t>
  </si>
  <si>
    <t xml:space="preserve">LLAVE LAVABO DOBLE PLASTICA ACRILICA ZBW </t>
  </si>
  <si>
    <t>C-001744</t>
  </si>
  <si>
    <t>LLAVE P/LAVABO METAL CROMADO ROKACRAFT</t>
  </si>
  <si>
    <t>C-001326</t>
  </si>
  <si>
    <t>LLAVE LAVABO PALANCA METAL PT0508.2RK ROKACRAFT</t>
  </si>
  <si>
    <t>C-001244</t>
  </si>
  <si>
    <t>LLAVE LAVABO CRUZ METAL KW031B</t>
  </si>
  <si>
    <t>C-001624</t>
  </si>
  <si>
    <t>LAVATRASTO EMPOTRABLE DOBLE ROKACRAFT</t>
  </si>
  <si>
    <t>C-000111</t>
  </si>
  <si>
    <t>C-000509</t>
  </si>
  <si>
    <t>LAVATRASTO 1 ESCURIDOR IZQUIERDO ROKACRAFT</t>
  </si>
  <si>
    <t>LAVATRASTO 1 ESCURIDOR DERECHO ROKACRAFT</t>
  </si>
  <si>
    <t>C-001777</t>
  </si>
  <si>
    <t xml:space="preserve">LAVATRASTO DOBLE ESCURRIDOR DERECHO </t>
  </si>
  <si>
    <t>C-001682</t>
  </si>
  <si>
    <t>C-001786</t>
  </si>
  <si>
    <t>KIT COMPLETO LAVATRASTO 2 CENTRO ROKACRAFT</t>
  </si>
  <si>
    <t>KIT COMPLETO LAVATRASTO GENERICO ROKACRAFT</t>
  </si>
  <si>
    <t>C-000108</t>
  </si>
  <si>
    <t>KIT DESAGUE Y SIFON COMPLETO C/CHUPO LAVATRASTO</t>
  </si>
  <si>
    <t>C-001917</t>
  </si>
  <si>
    <t>SIFON DOBLE DE LAVATRASTO FLEXIBLE ROKACRAFT</t>
  </si>
  <si>
    <t>C-000109</t>
  </si>
  <si>
    <t>SIFON PVC C/ADAPTADOR 1-1/2</t>
  </si>
  <si>
    <t>C-001117</t>
  </si>
  <si>
    <t>SIFON PVC 1-1/2 C/DESAGUE T4203</t>
  </si>
  <si>
    <t>C-001533</t>
  </si>
  <si>
    <t xml:space="preserve">KIT PVC 1-1/2C/CANASTA </t>
  </si>
  <si>
    <t>C-000568</t>
  </si>
  <si>
    <t>C-000259</t>
  </si>
  <si>
    <t>CANASTA LAVATRASTO ACERO C/GUIA ZBW</t>
  </si>
  <si>
    <t>CANASTA LAVTRASTO PLASTICA C/GUIA ZBW</t>
  </si>
  <si>
    <t>C-000762</t>
  </si>
  <si>
    <t>C-00833</t>
  </si>
  <si>
    <t>CENTRO DESAGUE LAVABO REJILLA 1-1/4X8"</t>
  </si>
  <si>
    <t>CENTRO DESAGUE LAVAMANOS C/PUSH 1-1/4X8"</t>
  </si>
  <si>
    <t>C-000905</t>
  </si>
  <si>
    <t>LLAVE PILA 1/2 PVC GRIS ROKACRAFT</t>
  </si>
  <si>
    <t>C-001258</t>
  </si>
  <si>
    <t>LLAVE PILA METAL 182 P/AZUL</t>
  </si>
  <si>
    <t>C-001712</t>
  </si>
  <si>
    <t xml:space="preserve">LAVADERO PLASTICO </t>
  </si>
  <si>
    <t>MORTEROS TORO</t>
  </si>
  <si>
    <t>SACO DE PULIDO LISTO TORO STANDARD</t>
  </si>
  <si>
    <t>SACO DE PULIDOLISTO TORO PREMIUM</t>
  </si>
  <si>
    <t>SACO MONOCAPA TORO GRIS (SUPER CAPA)</t>
  </si>
  <si>
    <t>SACO DE ADHESIVO CERAMICO STANDARD TORO</t>
  </si>
  <si>
    <t>SACO DE ADHESIVO PSP PREMIUM PORCELANICO</t>
  </si>
  <si>
    <t>SACO DE BASECOAT TIPO JAMO GRIS TORO</t>
  </si>
  <si>
    <t>SACO MORTEROS TORO REVESTIMIENTO HIDROFUGO(ANTIHUMEDAD O ANTIHONGOS)</t>
  </si>
  <si>
    <t>80051CA</t>
  </si>
  <si>
    <t>80051SA</t>
  </si>
  <si>
    <t>FRAGUADO BASE BLANCA COLOR BLANCO CON ARENA TORO</t>
  </si>
  <si>
    <t>FRAGUADO BASE BLANCA COLOR BLANCO SIN ARENA TORO</t>
  </si>
  <si>
    <t>PRECIO COSTO</t>
  </si>
  <si>
    <t>CEMENTO ULTRACENM</t>
  </si>
  <si>
    <t>WCS</t>
  </si>
  <si>
    <t>PSP PEGAPISO PLUS GRIS SACO 44 LBS WCS</t>
  </si>
  <si>
    <t>PEGAPISO REMIUM GRIS SACO 44 LBS WCS</t>
  </si>
  <si>
    <t>PULICASA GRIS CLARO SACO 60 LBS WCS</t>
  </si>
  <si>
    <t>DECOCEM FINO SACO 25LBS GRIS WCS</t>
  </si>
  <si>
    <t>CUÑA PARA NIVELADOR DE PORCELANATO Y CERAMICA BOLSA WCS</t>
  </si>
  <si>
    <t>NIVELADOR DE PORCELANATO Y CERAMICA 1.5 MM BOLSA WCS</t>
  </si>
  <si>
    <t>NIVELADOR DE PORCELANATO Y CERAMICA 1MM BOLSA WCS</t>
  </si>
  <si>
    <t>PISTOLA PARA INSTALAR CUÑA Y NIVELADORES PORCELANATO WCS</t>
  </si>
  <si>
    <t>JUNTEADOR (FRAGUAD)SIN ARENA WCS</t>
  </si>
  <si>
    <t>FRAGUADO BASE GRIS COLOR GRIS CON ARENA TORO</t>
  </si>
  <si>
    <t>FRAGUADO BASE GRIS COLOR GRIS SIN ARENA TORO</t>
  </si>
  <si>
    <t>F.CANALETA</t>
  </si>
  <si>
    <t>CANALETA GALV.0.80MM 2X4 DE 19.68</t>
  </si>
  <si>
    <t>CANALETA GALV.1.0MM 2X4 DE 19.68</t>
  </si>
  <si>
    <t>CANALETA GALV. 1.10MM 2X4 DE 19.68</t>
  </si>
  <si>
    <t>CANALETA GALV. 1.20MM 2X4 DE 19.68</t>
  </si>
  <si>
    <t>CANALETA GALV.1.35MM 2X4 DE 19.68</t>
  </si>
  <si>
    <t>CANALETA GALV.1.50MM 2X4 DE 19.68</t>
  </si>
  <si>
    <t>CANALETA GALV.1.20MM 2X6 DE 19.68</t>
  </si>
  <si>
    <t>CANALETA GALV.1.35MM 2X6 DE 19.68</t>
  </si>
  <si>
    <t>CANALETA GALV.1.50MM 2X6 DE 19.68</t>
  </si>
  <si>
    <t>ALUZINC CAL.26 X PIE  FERR</t>
  </si>
  <si>
    <t xml:space="preserve">ALUZINC CAL.26 X PIE 8 CRESTAS COM NATURAL </t>
  </si>
  <si>
    <t>ALUZINC CAL.26 X PIE 8 CRESTAS NATURAL 0.40MM</t>
  </si>
  <si>
    <t>ALUZINC CAL.26 X PIE 8 CRESTAS LEGITIMO NATURAL</t>
  </si>
  <si>
    <t>ALUZINC CAL.26 X PIE 8 CRESTAS COM ROJO</t>
  </si>
  <si>
    <t>ALUZINC CAL.26 X PIE 8 CRESTAS 0.40 ROJO IMPERIAL</t>
  </si>
  <si>
    <t>ALUZINC CAL.26 X PIE 8 CRESTAS  ROJO LEGITIMO</t>
  </si>
  <si>
    <t>ALUZINC CAL.24 X PIE LEG NATURAL</t>
  </si>
  <si>
    <t>ALUZINC CAL.24 X PIE LEG ROJO</t>
  </si>
  <si>
    <t>CODO DE PVC 4 X 45 DRENAJE INY</t>
  </si>
  <si>
    <t>CODO POTABLE 4X45</t>
  </si>
  <si>
    <t>CODO POTABLE 4X90</t>
  </si>
  <si>
    <t xml:space="preserve">PEGAMENTO DURMAN 1/32 </t>
  </si>
  <si>
    <t>PEGAMENTO DURMAN 1/16</t>
  </si>
  <si>
    <t>PEGAMENTO DURMAN 1/8</t>
  </si>
  <si>
    <t>PEGAMENTO DURMAN 1/4</t>
  </si>
  <si>
    <t>PEGAMENTO DURMAN GALON</t>
  </si>
  <si>
    <t>PEGAMENTO TANGIT 1/32</t>
  </si>
  <si>
    <t>PEGAMENTO TANGIT 1/16</t>
  </si>
  <si>
    <t>PEGAMENTO TANGIT 1/8</t>
  </si>
  <si>
    <t>PEGAMENTO TANGIT 1/4</t>
  </si>
  <si>
    <t>PEGAMENTO TANGIT GALON</t>
  </si>
  <si>
    <t xml:space="preserve">TBA </t>
  </si>
  <si>
    <t>PULIDO TBA</t>
  </si>
  <si>
    <t>PULIDO PLUS 66 LBS TBA</t>
  </si>
  <si>
    <t xml:space="preserve">MONOCAPA TBA </t>
  </si>
  <si>
    <t>ADHESIVO PLUS TBA</t>
  </si>
  <si>
    <t>ADHESIVO STANDARD VALVULADO TBA</t>
  </si>
  <si>
    <t>1/4 DE ACRISELL MP TBA</t>
  </si>
  <si>
    <t>ACRISEL MP GAL. TBA</t>
  </si>
  <si>
    <t>CRISTALES ANTIHUMEDAD TBA</t>
  </si>
  <si>
    <t>MASILLA AQUASOL TBA</t>
  </si>
  <si>
    <t>#           Código                                      Descripción                                Cantidad       Cód. UM     Precio Unitario           Total por Línea</t>
  </si>
  <si>
    <t>Prec</t>
  </si>
  <si>
    <t>precio venta</t>
  </si>
  <si>
    <t>costo</t>
  </si>
  <si>
    <t>venta</t>
  </si>
  <si>
    <t>precio venta/unidad</t>
  </si>
  <si>
    <t>material pendiente cotizar</t>
  </si>
  <si>
    <t>ACE000-001-000</t>
  </si>
  <si>
    <t>CAJA METALICA 2 X 4 X 1/2" PESADA</t>
  </si>
  <si>
    <t>UNIDAD</t>
  </si>
  <si>
    <t>LPS</t>
  </si>
  <si>
    <t>ACE000-002-000</t>
  </si>
  <si>
    <t>CAJA METALICA 2 X 4 X 3/4"" PESADA</t>
  </si>
  <si>
    <t>ACE000-003-000</t>
  </si>
  <si>
    <t>CAJA METALICA 2 X 4 MIXTA PESADA</t>
  </si>
  <si>
    <t>ACE001-003-000</t>
  </si>
  <si>
    <t>CAJA MET. 2 X 4 MIXTA LIVIANA 0.8 M</t>
  </si>
  <si>
    <t>ACE005-001-000</t>
  </si>
  <si>
    <t>CAJA METALICA 4"" X 4"" PESADA 1.5MM</t>
  </si>
  <si>
    <t>ACE006-001-000</t>
  </si>
  <si>
    <t>CAJA 2X4 MIXTA PVC GRIS</t>
  </si>
  <si>
    <t>ACE006-002-000</t>
  </si>
  <si>
    <t>CAJA OCTAGONAL PVC GRIS</t>
  </si>
  <si>
    <t>ACE006-003-000</t>
  </si>
  <si>
    <t>CAJA 4X4 PVC GRIS</t>
  </si>
  <si>
    <t>ACE007-001-000</t>
  </si>
  <si>
    <t>CAJA REGISTRO PVC (100X100X70 MM)</t>
  </si>
  <si>
    <t>ACE007-002-000</t>
  </si>
  <si>
    <t>CAJA REGISTRO PVC (150X150X70 MM)</t>
  </si>
  <si>
    <t>ACE012-001-000</t>
  </si>
  <si>
    <t>BASE DE CONTADOR CUADRADA 100 A HUB</t>
  </si>
  <si>
    <t>ACE013-001-000</t>
  </si>
  <si>
    <t>1.1/4"</t>
  </si>
  <si>
    <t>ACE014-001-000</t>
  </si>
  <si>
    <t>ACE015-001-000</t>
  </si>
  <si>
    <t>BASE DE CONTADOR REDONDA 100 A</t>
  </si>
  <si>
    <t>ACE025-002-000</t>
  </si>
  <si>
    <t>EXTENSIONES ELECTRICAS EC-2  12 PIES NW COLOR BLANCO</t>
  </si>
  <si>
    <t>ACE025-003-000</t>
  </si>
  <si>
    <t>ACE027-001-000</t>
  </si>
  <si>
    <t>EXTENSION ANARANJADA TRES TOMAS  25 PIES</t>
  </si>
  <si>
    <t>ACE027-002-000</t>
  </si>
  <si>
    <t>EXTENSION ANARANJADA TRES TOMAS 50 PIES</t>
  </si>
  <si>
    <t>ACE027-003-000</t>
  </si>
  <si>
    <t>EXTENSION ANARANJADA TRES TOMAS 75 PIES</t>
  </si>
  <si>
    <t>ACE027-004-000</t>
  </si>
  <si>
    <t>EXTENSION ANARANJADA TRES TOMAS 100 PIES</t>
  </si>
  <si>
    <t>ACE027-005-000</t>
  </si>
  <si>
    <t>EXTENSION BLANCA TRES TOMAS 6 PIES</t>
  </si>
  <si>
    <t>ACE027-006-000</t>
  </si>
  <si>
    <t>EXTENSION BLANCA TRES TOMAS 9 PIES</t>
  </si>
  <si>
    <t>ACE027-007-000</t>
  </si>
  <si>
    <t>EXTENSION BLANCA TRES TOMAS 12 PIES</t>
  </si>
  <si>
    <t>#</t>
  </si>
  <si>
    <t>Código</t>
  </si>
  <si>
    <t>Descripción                                C</t>
  </si>
  <si>
    <t>antidad</t>
  </si>
  <si>
    <t>Cód. UM</t>
  </si>
  <si>
    <t>Tota</t>
  </si>
  <si>
    <t>l por Línea</t>
  </si>
  <si>
    <t>ACE027-008-000</t>
  </si>
  <si>
    <t>EXTENSION BLANCA TRES TOMAS 15 PIES</t>
  </si>
  <si>
    <t>ACE027-009-000</t>
  </si>
  <si>
    <t>EXTENSION BLANCA TRES TOMAS 20 PIES</t>
  </si>
  <si>
    <t>ACE027-010-000</t>
  </si>
  <si>
    <t>EXTENSION BLANCA TRES TOMAS 25 PIES</t>
  </si>
  <si>
    <t>ACE030-001-000</t>
  </si>
  <si>
    <t>CONECTOR CON ROSCA P/ CABLE COAXIAL COOPER AZUL</t>
  </si>
  <si>
    <t>ACE043-002-000</t>
  </si>
  <si>
    <t>TUBO CONDUIT SCH40 3/4" 3 metros marca</t>
  </si>
  <si>
    <t>ACE043-003-000</t>
  </si>
  <si>
    <t>NORTHWEST ELECTRIC</t>
  </si>
  <si>
    <t>ACE043-005-000</t>
  </si>
  <si>
    <t>TUBO CONDUIT SCH40 2" 3 metros marca</t>
  </si>
  <si>
    <t>ACE043-006-000</t>
  </si>
  <si>
    <t>NORTHWEST</t>
  </si>
  <si>
    <t>ACE044-001-000</t>
  </si>
  <si>
    <t>CONECTOR PVC CONDUIT SCH40 1/2"</t>
  </si>
  <si>
    <t>ACE044-002-000</t>
  </si>
  <si>
    <t>CONECTOR PVC CONDUIT SCH40 3/4"</t>
  </si>
  <si>
    <t>ACE044-003-000</t>
  </si>
  <si>
    <t>CONECTOR PVC CONDUIT SCH40 1"</t>
  </si>
  <si>
    <t>ACE044-004-000</t>
  </si>
  <si>
    <t>CONECTOR PVC CONDUIT SCH40 1-1/4"</t>
  </si>
  <si>
    <t>ACE044-005-000</t>
  </si>
  <si>
    <t>CONECTOR PVC CONDUIT SCH40 2"</t>
  </si>
  <si>
    <t>ACE044-006-000</t>
  </si>
  <si>
    <t>CONECTOR PVC CONDUIT SCH40 1.1/2"</t>
  </si>
  <si>
    <t>BSG001-001-000</t>
  </si>
  <si>
    <t>BISAGRA DE ACERO SOLIDO 3"" BROWN DORADA</t>
  </si>
  <si>
    <t>BSG001-002-000</t>
  </si>
  <si>
    <t>BISAGRA DE ACERO SOLIDO 3.5"" BROWN DORADA</t>
  </si>
  <si>
    <t>BSG001-003-000</t>
  </si>
  <si>
    <t>BISAGRA DE ACERO SOLIDO 4"" BROWN DORADA</t>
  </si>
  <si>
    <t>BSG003-001-000</t>
  </si>
  <si>
    <t>BISAGRA MARCA LION CON TORNILLO 2.5""X2.5"</t>
  </si>
  <si>
    <t>BSG003-002-000</t>
  </si>
  <si>
    <t>BISAGRA MARCA LION CON TORNILLO 3""X3""</t>
  </si>
  <si>
    <t>BSG003-003-000</t>
  </si>
  <si>
    <t>BISAGRA MARCA LION CON TORNILLO 3.5""X3.5"</t>
  </si>
  <si>
    <t>BSG003-004-000</t>
  </si>
  <si>
    <t>BISAGRA MARCA LION CON TORNILLO 4""X4""</t>
  </si>
  <si>
    <t>BSG003-005-000</t>
  </si>
  <si>
    <t>BISAGRA MARCA LION CON TORNILLO 2""X2""</t>
  </si>
  <si>
    <t>BSG005-001-000</t>
  </si>
  <si>
    <t>BISAGRA PARA SOLDAR 3/8" X 3" PULG. DE LARG</t>
  </si>
  <si>
    <t>BSG005-002-000</t>
  </si>
  <si>
    <t>BISAGRA PARA SOLDAR 1/2" X 3" PULG. DE LARG</t>
  </si>
  <si>
    <t>BSG005-003-000</t>
  </si>
  <si>
    <t>BISAGRA PARA SOLDAR 5/8" X 4" PULG. DE LARG</t>
  </si>
  <si>
    <t>BSG005-004-000</t>
  </si>
  <si>
    <t>BISAGRA PARA SOLDAR 3/4" X 4" PULG. DE LARG</t>
  </si>
  <si>
    <t>BSG005-005-000</t>
  </si>
  <si>
    <t>BISAGRA PARA SOLDAR 1" X 5" PULG. DE LARGO</t>
  </si>
  <si>
    <t>BSG006-001-000</t>
  </si>
  <si>
    <t>BISAGRA DE ACERO SOLIDO 3"" BROWN PLATEADA</t>
  </si>
  <si>
    <t>BSG006-002-000</t>
  </si>
  <si>
    <t>BISAGRA DE ACERO SOLIDO 3.5"" BROWN</t>
  </si>
  <si>
    <t>BSG006-003-000</t>
  </si>
  <si>
    <t>PLATEADA</t>
  </si>
  <si>
    <t>BSG009-000-001</t>
  </si>
  <si>
    <t>BISAGRA 3" X 3" MARCA NORTHWEST</t>
  </si>
  <si>
    <t>BSG009-000-002</t>
  </si>
  <si>
    <t>BISAGRA 3.5" X 3.5" MARCA NORTHWEST</t>
  </si>
  <si>
    <t>BSG009-000-003</t>
  </si>
  <si>
    <t>BISAGRA 4" X 4" MARCA NORTHWEST</t>
  </si>
  <si>
    <t>CCB001-001-000</t>
  </si>
  <si>
    <t>CENTRO DE CARGA TIPO GE 2 CIRCUITOS</t>
  </si>
  <si>
    <t>CCB001-002-000</t>
  </si>
  <si>
    <t>CENTRO DE CARGA TIPO GE 4 CIRCUITOS</t>
  </si>
  <si>
    <t>CCB001-003-000</t>
  </si>
  <si>
    <t>CENTRO DE CARGA TIPO GE 6 CIRCUITOS</t>
  </si>
  <si>
    <t>CCB001-004-000</t>
  </si>
  <si>
    <t>CENTRO DE CARGA TIPO GE 8 CIRCUITOS</t>
  </si>
  <si>
    <r>
      <rPr>
        <sz val="10"/>
        <rFont val="Arial"/>
        <family val="2"/>
      </rPr>
      <t>1.1/4"
BASE DE CONTADOR CUADRADA 125 A HUB</t>
    </r>
  </si>
  <si>
    <r>
      <rPr>
        <sz val="10"/>
        <rFont val="Arial"/>
        <family val="2"/>
      </rPr>
      <t>BASE DE CONTADOR CUADRADA 200 A HUB
1.1/4"</t>
    </r>
  </si>
  <si>
    <r>
      <rPr>
        <sz val="10"/>
        <rFont val="Arial"/>
        <family val="2"/>
      </rPr>
      <t>EXTENSIONES ELECTRICAS EC-2  15 PIES NW
COLOR BLANCO</t>
    </r>
  </si>
  <si>
    <r>
      <rPr>
        <sz val="10"/>
        <rFont val="Arial"/>
        <family val="2"/>
      </rPr>
      <t>NORTHWEST ELECTRIC
TUBO CONDUIT SCH40 1" 3 metros marca</t>
    </r>
  </si>
  <si>
    <r>
      <rPr>
        <sz val="10"/>
        <rFont val="Arial"/>
        <family val="2"/>
      </rPr>
      <t>NORTHWEST ELECTRIC
TUBO CONDUIT SCH40 1.1/2" 3 metros marca</t>
    </r>
  </si>
  <si>
    <r>
      <rPr>
        <sz val="10"/>
        <rFont val="Arial"/>
        <family val="2"/>
      </rPr>
      <t>PLATEADA
BISAGRA DE ACERO SOLIDO 4"" BROWN</t>
    </r>
  </si>
  <si>
    <t>CCB001-005-000</t>
  </si>
  <si>
    <t>CENTRO DE CARGA TIPO GE 12 CIRCUITO</t>
  </si>
  <si>
    <t>CCB002-001-000</t>
  </si>
  <si>
    <t>CENTRO DE CARGA TIPO SD 2 CIRCUITOS</t>
  </si>
  <si>
    <t>CCB002-002-000</t>
  </si>
  <si>
    <t>CENTRO DE CARGA TIPO SD 4 CIRCUITOS</t>
  </si>
  <si>
    <t>CCB002-003-000</t>
  </si>
  <si>
    <t>CENTRO DE CARGA TIPO SD 6 CIRCUITOS</t>
  </si>
  <si>
    <t>CCB002-004-000</t>
  </si>
  <si>
    <t>CENTRO DE CARGA TIPO SD 8 CIRCUITOS</t>
  </si>
  <si>
    <t>CCB002-005-000</t>
  </si>
  <si>
    <t>CENTRO DE CARGA TIPO SD 12 CIRCUITOS C/CUBIERTA</t>
  </si>
  <si>
    <t>CCB002-006-000</t>
  </si>
  <si>
    <t>CENTRO DE CARGA TIPO SD 16 CIRCUITOS</t>
  </si>
  <si>
    <t>CCB002-007-000</t>
  </si>
  <si>
    <r>
      <rPr>
        <sz val="11"/>
        <rFont val="Arial"/>
        <family val="2"/>
      </rPr>
      <t>C/CUBIERTA
CENTRO DE CARGA TIPO SD 20 CIRCUITOS</t>
    </r>
  </si>
  <si>
    <t>C/CUBIERTA</t>
  </si>
  <si>
    <t>CCB003-001-000</t>
  </si>
  <si>
    <t>BREAKERS TIPO GE 1X15A</t>
  </si>
  <si>
    <t>CCB003-002-000</t>
  </si>
  <si>
    <t>BREAKERS TIPO GE 1X20A</t>
  </si>
  <si>
    <t>CCB003-004-000</t>
  </si>
  <si>
    <t>BREAKERS TIPO GE 1X40A</t>
  </si>
  <si>
    <t>CCB003-005-000</t>
  </si>
  <si>
    <t>BREAKERS TIPO GE 1X50A</t>
  </si>
  <si>
    <t>CCB003-006-000</t>
  </si>
  <si>
    <t>BREAKERS TIPO GE 1X60A</t>
  </si>
  <si>
    <t>CCB003-007-000</t>
  </si>
  <si>
    <t>BREAKERS TIPO GE 2X20A</t>
  </si>
  <si>
    <t>CCB003-008-000</t>
  </si>
  <si>
    <t>BREAKERS TIPO GE 2X30A</t>
  </si>
  <si>
    <t>CCB003-009-000</t>
  </si>
  <si>
    <t>BREAKERS TIPO GE 2X40A</t>
  </si>
  <si>
    <t>CCB003-010-000</t>
  </si>
  <si>
    <t>BREAKERS TIPO GE 2X50A</t>
  </si>
  <si>
    <t>CCB003-011-000</t>
  </si>
  <si>
    <t>BREAKERS TIPO GE 2X60A</t>
  </si>
  <si>
    <t>CCB004-001-000</t>
  </si>
  <si>
    <t>BREAKERS TIPO SQUARE D 1X15A</t>
  </si>
  <si>
    <t>CCB004-002-000</t>
  </si>
  <si>
    <t>BREAKERS TIPO SQUARE D 1X20A</t>
  </si>
  <si>
    <t>CCB004-004-000</t>
  </si>
  <si>
    <t>BREAKERS TIPO SQUARE D 1X40A</t>
  </si>
  <si>
    <t>CCB004-006-000</t>
  </si>
  <si>
    <t>BREAKERS TIPO SQUARE D 1X60A</t>
  </si>
  <si>
    <t>CCB004-007-000</t>
  </si>
  <si>
    <t>BREAKERS TIPO SQUARE D 2X20A</t>
  </si>
  <si>
    <t>CCB004-008-000</t>
  </si>
  <si>
    <t>BREAKERS TIPO SQUARE D 2X30A</t>
  </si>
  <si>
    <t>CCB004-009-000</t>
  </si>
  <si>
    <t>BREAKERS TIPO SQUARE D 2X40A</t>
  </si>
  <si>
    <t>CCB004-010-000</t>
  </si>
  <si>
    <t>BREAKERS TIPO SQUARE D 2X50A</t>
  </si>
  <si>
    <t>CTR000-000-001</t>
  </si>
  <si>
    <t>MALLA CICLON C/FORRO PVC VERDE OSCURO</t>
  </si>
  <si>
    <t>ROLLO</t>
  </si>
  <si>
    <t>CTR000-000-002</t>
  </si>
  <si>
    <r>
      <rPr>
        <sz val="11"/>
        <rFont val="Arial"/>
        <family val="2"/>
      </rPr>
      <t>(48") 4 X 100 PIES RHINO
MALLA CICLON C/FORRO PVC VERDE OSCURO</t>
    </r>
  </si>
  <si>
    <t>(60") 5 X 100 PIES RHINO</t>
  </si>
  <si>
    <t>CTR000-000-003</t>
  </si>
  <si>
    <t>CTR000-000-004</t>
  </si>
  <si>
    <r>
      <rPr>
        <sz val="11"/>
        <rFont val="Arial"/>
        <family val="2"/>
      </rPr>
      <t>(72") 6 X 100 PIES RHINO
MALLA CICLON C/FORRO PVC VERDE OSCURO</t>
    </r>
  </si>
  <si>
    <t>(96") 8 X 100 PIES RHINO</t>
  </si>
  <si>
    <t>CTR000-001-001</t>
  </si>
  <si>
    <t>MALLA CICLON C/FORRO PVC VERDE CLARO (48"</t>
  </si>
  <si>
    <t>CTR000-001-002</t>
  </si>
  <si>
    <r>
      <rPr>
        <sz val="11"/>
        <rFont val="Arial"/>
        <family val="2"/>
      </rPr>
      <t>4 X 100  PIES RHINO
MALLA CICLON C/FORRO PVC VERDE CLARO (60"</t>
    </r>
  </si>
  <si>
    <t>5 X 100 PIES RHINO</t>
  </si>
  <si>
    <t>CTR000-001-003</t>
  </si>
  <si>
    <r>
      <rPr>
        <sz val="11"/>
        <rFont val="Arial"/>
        <family val="2"/>
      </rPr>
      <t>MALLA CICLON C/FORRO PVC VERDE CLARO (72"
6 X 100 PIES RHINO</t>
    </r>
  </si>
  <si>
    <t>CTR001-000-000</t>
  </si>
  <si>
    <t>MALLA CICLON GALV (48") 4 X 100 PIES RHINO</t>
  </si>
  <si>
    <t>CTR001-000-001</t>
  </si>
  <si>
    <t>MALLA CICLON GALV (60") 5 X 100 PIES RHINO</t>
  </si>
  <si>
    <t>CTR001-000-002</t>
  </si>
  <si>
    <t>MALLA CICLON GALV (72") 6 X 100 PIES RHINO</t>
  </si>
  <si>
    <t>CTR001-000-003</t>
  </si>
  <si>
    <t>MALLA CICLON GALV (96") 8 X 100 PIES RHINO</t>
  </si>
  <si>
    <t>CTR006-000-000</t>
  </si>
  <si>
    <r>
      <rPr>
        <sz val="11"/>
        <rFont val="Arial"/>
        <family val="2"/>
      </rPr>
      <t>MALLA P/GALLINERO (48") 1" X4 X150 PIES
RHINO</t>
    </r>
  </si>
  <si>
    <t>CTR006-000-001</t>
  </si>
  <si>
    <t>MALLA P/GALLINERO (60") 1" X5 X150 PIES</t>
  </si>
  <si>
    <t>###</t>
  </si>
  <si>
    <t>CTR006-000-002</t>
  </si>
  <si>
    <r>
      <rPr>
        <sz val="11"/>
        <rFont val="Arial"/>
        <family val="2"/>
      </rPr>
      <t>RHINO
MALLA P/GALLINERO (72") 1" X6 X150 PIES</t>
    </r>
  </si>
  <si>
    <t>RHINO</t>
  </si>
  <si>
    <t>CTR006-001-001</t>
  </si>
  <si>
    <t>MALLA P/GALLINERO C/ FORRO PVC VERDE (48")</t>
  </si>
  <si>
    <t>CTR006-001-002</t>
  </si>
  <si>
    <r>
      <rPr>
        <sz val="11"/>
        <rFont val="Arial"/>
        <family val="2"/>
      </rPr>
      <t>1" X4 RHINO
MALLA P/GALLINERO C/ FORRO PVC VERDE (60")</t>
    </r>
  </si>
  <si>
    <t>1" X5 RHINO</t>
  </si>
  <si>
    <t>CTR006-001-003</t>
  </si>
  <si>
    <r>
      <rPr>
        <sz val="11"/>
        <rFont val="Arial"/>
        <family val="2"/>
      </rPr>
      <t>MALLA P/GALLINERO C/ FORRO PVC VERDE (72")
1" X6 RHINO</t>
    </r>
  </si>
  <si>
    <t>CTR007-000-002</t>
  </si>
  <si>
    <t>SERPENTINA EN ROLLO  CBT-65</t>
  </si>
  <si>
    <t>CTR008-000-001</t>
  </si>
  <si>
    <t>MALLA MOSQUITERA COLOR GALVANIZADA</t>
  </si>
  <si>
    <t>CTR008-000-002</t>
  </si>
  <si>
    <t>MALLA MOSQUITERA COLOR BLANCO</t>
  </si>
  <si>
    <t>CTR008-000-003</t>
  </si>
  <si>
    <t>MALLA MOSQUITERA COLOR ROJO</t>
  </si>
  <si>
    <t>CTR008-000-004</t>
  </si>
  <si>
    <t>MALLA MOSQUITERA COLOR NEGRO</t>
  </si>
  <si>
    <t>ELE003-001-000</t>
  </si>
  <si>
    <t>CONECTOR EMT 1/2""</t>
  </si>
  <si>
    <t>ELE003-002-000</t>
  </si>
  <si>
    <t>CONECTOR EMT 3/4""</t>
  </si>
  <si>
    <t>ELE003-003-000</t>
  </si>
  <si>
    <t>CONECTOR EMT 1""</t>
  </si>
  <si>
    <t>ELE003-004-000</t>
  </si>
  <si>
    <t>CONECTOR EMT 1-1/4""</t>
  </si>
  <si>
    <t>ELE003-005-000</t>
  </si>
  <si>
    <t>CONECTOR EMT 2""</t>
  </si>
  <si>
    <t>ELE003-006-000</t>
  </si>
  <si>
    <t>CONECTOR EMT 1.1/2"</t>
  </si>
  <si>
    <t>ELE005-002-000</t>
  </si>
  <si>
    <t>TUBO EMT 3/4"" 10 PIES</t>
  </si>
  <si>
    <t>ELE005-005-000</t>
  </si>
  <si>
    <t>TUBO EMT 2"" 10 PIES</t>
  </si>
  <si>
    <t>ELE012-000-001</t>
  </si>
  <si>
    <t>CONECTOR ROMEX 1/2"</t>
  </si>
  <si>
    <t>ELE012-000-002</t>
  </si>
  <si>
    <t>CONECTOR ROMEX 3/4"</t>
  </si>
  <si>
    <t>FON103-000-001</t>
  </si>
  <si>
    <t>BUJE REDUCTOR 3/4X1/2” HG</t>
  </si>
  <si>
    <t>FON103-000-002</t>
  </si>
  <si>
    <t>BUJE REDUCTOR 1X1/2” HG</t>
  </si>
  <si>
    <t>FON103-000-003</t>
  </si>
  <si>
    <t>BUJE REDUCTOR 1X3/4" HG</t>
  </si>
  <si>
    <t>HER007-004-000</t>
  </si>
  <si>
    <t>PROTECTOR DE VOLTAJE  3 TOMAS 120V AC 50-6 Hz NORTHWEST ELECTRIC</t>
  </si>
  <si>
    <t>HER007-005-000</t>
  </si>
  <si>
    <r>
      <rPr>
        <sz val="11"/>
        <rFont val="Arial"/>
        <family val="2"/>
      </rPr>
      <t>PROTECTOR DE VOLTAJE 220V AC50-60 HZ
NORTHWEST ELECTRIC</t>
    </r>
  </si>
  <si>
    <t>HER010-000-000</t>
  </si>
  <si>
    <t>CINTA ADHESIVA TAPAGOTERA BROWN</t>
  </si>
  <si>
    <t>HER011-002-000</t>
  </si>
  <si>
    <t>PERFIL PARA CERAMICA 2.6 M METALICO - CROMADO BROWN</t>
  </si>
  <si>
    <t>HER026-000-000</t>
  </si>
  <si>
    <t>ESPONJA MULTIUSOS MARCA NORTHWEST</t>
  </si>
  <si>
    <t>HER033-000-000</t>
  </si>
  <si>
    <t>KIT DE PINTURA COMPLETO 4" CON 2 RODILLOS DE PINTURA</t>
  </si>
  <si>
    <t>HER033-000-001</t>
  </si>
  <si>
    <t>KIT DE PINTURA COMPLETO 9</t>
  </si>
  <si>
    <t>HER036-000-000</t>
  </si>
  <si>
    <t>MOLINO DE MANO P/GRANOS (TOLVA BAJA) RIHNO - GH0102</t>
  </si>
  <si>
    <t>HER300-000-000</t>
  </si>
  <si>
    <t>PALA CURVA CON MANGO DE MADERA MARCA</t>
  </si>
  <si>
    <t>HER300-001-000</t>
  </si>
  <si>
    <r>
      <rPr>
        <sz val="11"/>
        <rFont val="Arial"/>
        <family val="2"/>
      </rPr>
      <t>RIHNO
PALA CUADRADA C/MANGO LARGO MARCA</t>
    </r>
  </si>
  <si>
    <t>RIHNO</t>
  </si>
  <si>
    <t>HER300-002-000</t>
  </si>
  <si>
    <t>PALA CARBONERA MANGO CORTO MARCA RIHN</t>
  </si>
  <si>
    <t>HER312-000-000</t>
  </si>
  <si>
    <t>CARRETA DE MANO 4.5 NARANJA MARCA RHINO</t>
  </si>
  <si>
    <t>HER312-000-001</t>
  </si>
  <si>
    <t>CARRETA DE MANO 5 AZUL MARCA RIHNO</t>
  </si>
  <si>
    <t>LPS                 1,051.43</t>
  </si>
  <si>
    <t>HER318-000-000</t>
  </si>
  <si>
    <t>ELECTRODO 6011 (CP 11 LIBRAS) MARCA RIHNO</t>
  </si>
  <si>
    <t>CAJA PEQ</t>
  </si>
  <si>
    <t>HOG004-000-001</t>
  </si>
  <si>
    <t>LIMPIA VIDRIOS CON ESPONJA  8''</t>
  </si>
  <si>
    <t>HOG004-000-002</t>
  </si>
  <si>
    <t>LIMPIA VIDRIOS CON ESPONJA  10''</t>
  </si>
  <si>
    <t>ILU009-001-000</t>
  </si>
  <si>
    <t>LAMPARA DE CALLE ECOLOGICA CON FOCO REDONDO 50W  , 110-220V</t>
  </si>
  <si>
    <t>ILU018-000-001</t>
  </si>
  <si>
    <t>BRAZO PARA LAMPARA COBRA-50</t>
  </si>
  <si>
    <t>ILU018-000-002</t>
  </si>
  <si>
    <t>BRAZO PARA LAMPARA COBRA-60</t>
  </si>
  <si>
    <t>ILU018-001-000</t>
  </si>
  <si>
    <t>LAMPARA LED TIPO COBRA 50W 6500K  CON</t>
  </si>
  <si>
    <t>ILU018-002-000</t>
  </si>
  <si>
    <t>FOTOCELDA</t>
  </si>
  <si>
    <t>ILU018-003-000</t>
  </si>
  <si>
    <t>LAMPARA LED TIPO COBRA 150W 6500K  CON</t>
  </si>
  <si>
    <t>LPS                 1,206.34</t>
  </si>
  <si>
    <t>ILU018-004-000</t>
  </si>
  <si>
    <t>LPS                 1,669.69</t>
  </si>
  <si>
    <t>PVC103-001-000</t>
  </si>
  <si>
    <t>BUJE REDUCTOR PVC 3/4"X1/2"</t>
  </si>
  <si>
    <t>PVC104-001-000</t>
  </si>
  <si>
    <t>BUJE REDUCTOR PVC 1 X 1/2"</t>
  </si>
  <si>
    <t>PVC104-002-000</t>
  </si>
  <si>
    <t>BUJE REDUCTOR PVC 1"X3/4"</t>
  </si>
  <si>
    <t>PVC105-003-000</t>
  </si>
  <si>
    <t>BUJE REDUCTOR PVC 1-1/4"X1"</t>
  </si>
  <si>
    <t>PVC106-002-000</t>
  </si>
  <si>
    <t>BUJE REDUCTOR PVC 1-1/2"X3/4"</t>
  </si>
  <si>
    <t>PVC106-003-000</t>
  </si>
  <si>
    <t>BUJE REDUCTOR PVC 1-1/2"X1"</t>
  </si>
  <si>
    <t>PVC106-004-000</t>
  </si>
  <si>
    <t>BUJE REDUCTOR PVC 1-1/2"X1-1/4"</t>
  </si>
  <si>
    <t>PVC106-005-000</t>
  </si>
  <si>
    <t>BUJE REDUCTOR PVC 1-1/2"X1/2"</t>
  </si>
  <si>
    <t>PVC107-001-000</t>
  </si>
  <si>
    <t>BUJE REDUCTOR PVC 2"X1/2"</t>
  </si>
  <si>
    <t>PVC107-002-000</t>
  </si>
  <si>
    <t>BUJE REDUCTOR PVC 2"X3/4"</t>
  </si>
  <si>
    <t>PVC107-003-000</t>
  </si>
  <si>
    <t>BUJE REDUCTOR PVC 2"X1"</t>
  </si>
  <si>
    <t>PVC107-004-000</t>
  </si>
  <si>
    <t>BUJE REDUCTOR PVC 2"X1-1/4"</t>
  </si>
  <si>
    <t>PVC107-005-000</t>
  </si>
  <si>
    <t>BUJE REDUCTOR PVC 2"X1-1/2"</t>
  </si>
  <si>
    <t>PVC107-010-000</t>
  </si>
  <si>
    <t>BUJE REDUCTOR PVC 4"X2"</t>
  </si>
  <si>
    <t>PVC108-002-000</t>
  </si>
  <si>
    <t>BUJE REDUCTOR PVC 3"X2"</t>
  </si>
  <si>
    <t>PVC108-004-000</t>
  </si>
  <si>
    <t>BUJE REDUCTOR PVC 3"X4"</t>
  </si>
  <si>
    <t>PVC109-002-000</t>
  </si>
  <si>
    <t>BUJE REDUCTOR PVC 4"X3"</t>
  </si>
  <si>
    <t>PVC109-003-000</t>
  </si>
  <si>
    <t>BUJE REDUCTOR PVC 6"X4"</t>
  </si>
  <si>
    <t>PVC110-001-000</t>
  </si>
  <si>
    <t>CODO PVC 1/2"X45° LISO</t>
  </si>
  <si>
    <t>PVC110-002-000</t>
  </si>
  <si>
    <t>CODO PVC  3/4""X45°LISO</t>
  </si>
  <si>
    <t>PVC110-003-000</t>
  </si>
  <si>
    <t>CODO PVC 1"X45° LISO</t>
  </si>
  <si>
    <t>PVC110-004-000</t>
  </si>
  <si>
    <t>CODO PVC 1-1/4 X45° LISO</t>
  </si>
  <si>
    <t>PVC110-005-000</t>
  </si>
  <si>
    <t>CODO PVC  1-1/2" X45° LISO</t>
  </si>
  <si>
    <t>PVC110-006-000</t>
  </si>
  <si>
    <t>CODO PVC 2"X45° LISO</t>
  </si>
  <si>
    <t>PVC111-000-000</t>
  </si>
  <si>
    <t>CODO PVC  1/2"X90° LISO</t>
  </si>
  <si>
    <t>PVC111-001-000</t>
  </si>
  <si>
    <t>CODO PVC  3/4"X90° LISO</t>
  </si>
  <si>
    <t>PVC111-002-000</t>
  </si>
  <si>
    <t>CODO PVC  1"X90° LISO</t>
  </si>
  <si>
    <r>
      <rPr>
        <sz val="11"/>
        <rFont val="Arial"/>
        <family val="2"/>
      </rPr>
      <t>LPS                  973.00</t>
    </r>
  </si>
  <si>
    <r>
      <rPr>
        <sz val="11"/>
        <rFont val="Arial"/>
        <family val="2"/>
      </rPr>
      <t>LPS                  304.46</t>
    </r>
  </si>
  <si>
    <r>
      <rPr>
        <sz val="11"/>
        <rFont val="Arial"/>
        <family val="2"/>
      </rPr>
      <t>LPS                    39.05</t>
    </r>
  </si>
  <si>
    <r>
      <rPr>
        <sz val="11"/>
        <rFont val="Arial"/>
        <family val="2"/>
      </rPr>
      <t>LPS                    45.34</t>
    </r>
  </si>
  <si>
    <r>
      <rPr>
        <sz val="11"/>
        <rFont val="Arial"/>
        <family val="2"/>
      </rPr>
      <t>LPS                  720.95</t>
    </r>
  </si>
  <si>
    <r>
      <rPr>
        <sz val="11"/>
        <rFont val="Arial"/>
        <family val="2"/>
      </rPr>
      <t>LPS                  210.96</t>
    </r>
  </si>
  <si>
    <r>
      <rPr>
        <sz val="11"/>
        <rFont val="Arial"/>
        <family val="2"/>
      </rPr>
      <t>LPS                  233.02</t>
    </r>
  </si>
  <si>
    <r>
      <rPr>
        <sz val="11"/>
        <rFont val="Arial"/>
        <family val="2"/>
      </rPr>
      <t>LPS                  569.02</t>
    </r>
  </si>
  <si>
    <r>
      <rPr>
        <sz val="11"/>
        <rFont val="Arial"/>
        <family val="2"/>
      </rPr>
      <t>FOTOCELDA
LAMPARA LED TIPO COBRA 100W 6500K CON</t>
    </r>
  </si>
  <si>
    <r>
      <rPr>
        <sz val="11"/>
        <rFont val="Arial"/>
        <family val="2"/>
      </rPr>
      <t>LPS                  925.75</t>
    </r>
  </si>
  <si>
    <r>
      <rPr>
        <sz val="11"/>
        <rFont val="Arial"/>
        <family val="2"/>
      </rPr>
      <t>FOTOCELDA
LAMPARA LED TIPO COBRA 200W 6500K  CON</t>
    </r>
  </si>
  <si>
    <r>
      <rPr>
        <sz val="11"/>
        <rFont val="Arial"/>
        <family val="2"/>
      </rPr>
      <t>LPS                      1.58</t>
    </r>
  </si>
  <si>
    <r>
      <rPr>
        <sz val="11"/>
        <rFont val="Arial"/>
        <family val="2"/>
      </rPr>
      <t>LPS                      2.48</t>
    </r>
  </si>
  <si>
    <r>
      <rPr>
        <sz val="11"/>
        <rFont val="Arial"/>
        <family val="2"/>
      </rPr>
      <t>LPS                      2.25</t>
    </r>
  </si>
  <si>
    <r>
      <rPr>
        <sz val="11"/>
        <rFont val="Arial"/>
        <family val="2"/>
      </rPr>
      <t>LPS                      2.82</t>
    </r>
  </si>
  <si>
    <r>
      <rPr>
        <sz val="11"/>
        <rFont val="Arial"/>
        <family val="2"/>
      </rPr>
      <t>LPS                      5.24</t>
    </r>
  </si>
  <si>
    <r>
      <rPr>
        <sz val="11"/>
        <rFont val="Arial"/>
        <family val="2"/>
      </rPr>
      <t>LPS                      5.34</t>
    </r>
  </si>
  <si>
    <r>
      <rPr>
        <sz val="11"/>
        <rFont val="Arial"/>
        <family val="2"/>
      </rPr>
      <t>LPS                      3.63</t>
    </r>
  </si>
  <si>
    <r>
      <rPr>
        <sz val="11"/>
        <rFont val="Arial"/>
        <family val="2"/>
      </rPr>
      <t>LPS                      5.03</t>
    </r>
  </si>
  <si>
    <r>
      <rPr>
        <sz val="11"/>
        <rFont val="Arial"/>
        <family val="2"/>
      </rPr>
      <t>LPS                      9.36</t>
    </r>
  </si>
  <si>
    <r>
      <rPr>
        <sz val="11"/>
        <rFont val="Arial"/>
        <family val="2"/>
      </rPr>
      <t>LPS                    11.49</t>
    </r>
  </si>
  <si>
    <r>
      <rPr>
        <sz val="11"/>
        <rFont val="Arial"/>
        <family val="2"/>
      </rPr>
      <t>LPS                    10.00</t>
    </r>
  </si>
  <si>
    <r>
      <rPr>
        <sz val="11"/>
        <rFont val="Arial"/>
        <family val="2"/>
      </rPr>
      <t>LPS                    10.03</t>
    </r>
  </si>
  <si>
    <r>
      <rPr>
        <sz val="11"/>
        <rFont val="Arial"/>
        <family val="2"/>
      </rPr>
      <t>LPS                      6.66</t>
    </r>
  </si>
  <si>
    <r>
      <rPr>
        <sz val="11"/>
        <rFont val="Arial"/>
        <family val="2"/>
      </rPr>
      <t>LPS                    27.29</t>
    </r>
  </si>
  <si>
    <r>
      <rPr>
        <sz val="11"/>
        <rFont val="Arial"/>
        <family val="2"/>
      </rPr>
      <t>LPS                    17.75</t>
    </r>
  </si>
  <si>
    <r>
      <rPr>
        <sz val="11"/>
        <rFont val="Arial"/>
        <family val="2"/>
      </rPr>
      <t>LPS                    32.79</t>
    </r>
  </si>
  <si>
    <r>
      <rPr>
        <sz val="11"/>
        <rFont val="Arial"/>
        <family val="2"/>
      </rPr>
      <t>LPS                    34.88</t>
    </r>
  </si>
  <si>
    <r>
      <rPr>
        <sz val="11"/>
        <rFont val="Arial"/>
        <family val="2"/>
      </rPr>
      <t>LPS                    89.79</t>
    </r>
  </si>
  <si>
    <r>
      <rPr>
        <sz val="11"/>
        <rFont val="Arial"/>
        <family val="2"/>
      </rPr>
      <t>LPS                      1.87</t>
    </r>
  </si>
  <si>
    <r>
      <rPr>
        <sz val="11"/>
        <rFont val="Arial"/>
        <family val="2"/>
      </rPr>
      <t>LPS                      2.75</t>
    </r>
  </si>
  <si>
    <r>
      <rPr>
        <sz val="11"/>
        <rFont val="Arial"/>
        <family val="2"/>
      </rPr>
      <t>LPS                      4.62</t>
    </r>
  </si>
  <si>
    <r>
      <rPr>
        <sz val="11"/>
        <rFont val="Arial"/>
        <family val="2"/>
      </rPr>
      <t>LPS                      6.68</t>
    </r>
  </si>
  <si>
    <r>
      <rPr>
        <sz val="11"/>
        <rFont val="Arial"/>
        <family val="2"/>
      </rPr>
      <t>LPS                      9.18</t>
    </r>
  </si>
  <si>
    <r>
      <rPr>
        <sz val="11"/>
        <rFont val="Arial"/>
        <family val="2"/>
      </rPr>
      <t>LPS                    12.07</t>
    </r>
  </si>
  <si>
    <r>
      <rPr>
        <sz val="11"/>
        <rFont val="Arial"/>
        <family val="2"/>
      </rPr>
      <t>LPS                  212.00</t>
    </r>
  </si>
  <si>
    <r>
      <rPr>
        <sz val="11"/>
        <rFont val="Arial"/>
        <family val="2"/>
      </rPr>
      <t>LPS                      2.81</t>
    </r>
  </si>
  <si>
    <r>
      <rPr>
        <sz val="11"/>
        <rFont val="Arial"/>
        <family val="2"/>
      </rPr>
      <t>LPS                      5.32</t>
    </r>
  </si>
  <si>
    <t>PVC111-003-000</t>
  </si>
  <si>
    <t>CODO PVC  1-1/4"X90° LISO</t>
  </si>
  <si>
    <t>PVC111-004-000</t>
  </si>
  <si>
    <t>CODO PVC  1-1/2"X90° LISO</t>
  </si>
  <si>
    <t>PVC111-005-000</t>
  </si>
  <si>
    <t>CODO PVC  2""X90° LISO</t>
  </si>
  <si>
    <t>PVC111-008-000</t>
  </si>
  <si>
    <t>CODO PVC  4"X90° FULL LISO</t>
  </si>
  <si>
    <t>PVC111-009-000</t>
  </si>
  <si>
    <t>CODO PVC 3"X90° FULL LISO</t>
  </si>
  <si>
    <t>PVC112-000-000</t>
  </si>
  <si>
    <t>TEE PVC 1/2"</t>
  </si>
  <si>
    <t>PVC112-001-000</t>
  </si>
  <si>
    <t>TEE PVC 3/4"</t>
  </si>
  <si>
    <t>PVC112-002-000</t>
  </si>
  <si>
    <t>TEE PVC 1"</t>
  </si>
  <si>
    <t>PVC112-003-000</t>
  </si>
  <si>
    <t>TEE PVC 1-1/4"</t>
  </si>
  <si>
    <t>PVC112-004-000</t>
  </si>
  <si>
    <t>TEE PVC  1-1/2"</t>
  </si>
  <si>
    <t>PVC112-005-000</t>
  </si>
  <si>
    <t>TEE PVC 2"</t>
  </si>
  <si>
    <t>PVC112-006-000</t>
  </si>
  <si>
    <t>TEE PVC 3"</t>
  </si>
  <si>
    <t>PVC119-000-000</t>
  </si>
  <si>
    <t>CODO PVC 1/2 X 90° CON ROSCA</t>
  </si>
  <si>
    <t>PVC121-001-000</t>
  </si>
  <si>
    <t>CODO DWV INYECTADO DRENAJE 2"X45°</t>
  </si>
  <si>
    <t>PVC121-002-000</t>
  </si>
  <si>
    <t>CODO DWV INYECTADO DRENAJE 3"X45°</t>
  </si>
  <si>
    <t>PVC121-003-000</t>
  </si>
  <si>
    <t>CODO DWV INYECTADO DRENAJE 4"X45°</t>
  </si>
  <si>
    <t>PVC121-004-000</t>
  </si>
  <si>
    <t>CODO DWV INYECTADO DRENAJE 6"X45°</t>
  </si>
  <si>
    <t>PVC122-001-000</t>
  </si>
  <si>
    <t>CODO DWV INYECTADO DRENAJE 2"X90°</t>
  </si>
  <si>
    <t>PVC122-002-000</t>
  </si>
  <si>
    <t>CODO DWV INYECTADO DRENAJE 3"X90°</t>
  </si>
  <si>
    <t>PVC122-003-000</t>
  </si>
  <si>
    <t>CODO DWV INYECTADO DRENAJE 4"X90°</t>
  </si>
  <si>
    <t>PVC122-004-000</t>
  </si>
  <si>
    <t>CODO DWV INYECTADO DRENAJE 6"X90°</t>
  </si>
  <si>
    <t>PVC123-000-000</t>
  </si>
  <si>
    <t>CODO DWV INYECTADO DRENAJE 2"X90° CORTO</t>
  </si>
  <si>
    <t>PVC123-001-000</t>
  </si>
  <si>
    <t>CODO DWV INYECTADO DRENAJE 3"X90° CORTO</t>
  </si>
  <si>
    <t>PVC123-002-000</t>
  </si>
  <si>
    <t>CODO DWV INYECTADO DRENAJE 4"X90° CORTO</t>
  </si>
  <si>
    <t>PVC124-001-000</t>
  </si>
  <si>
    <t>TEE DWV INYECTADO DRENAJE 1-1/2"</t>
  </si>
  <si>
    <t>PVC124-002-000</t>
  </si>
  <si>
    <t>TEE DWV INYECTADO DRENAJE 2"</t>
  </si>
  <si>
    <t>PVC124-002-001</t>
  </si>
  <si>
    <t>TEE DWV INYECTADO DRENAJE 2" CORTO</t>
  </si>
  <si>
    <t>PVC124-003-000</t>
  </si>
  <si>
    <t>TEE DWV INYECTADO DRENAJE 3"</t>
  </si>
  <si>
    <t>PVC124-004-000</t>
  </si>
  <si>
    <t>TEE DWV INYECTADO DRENAJE 4"</t>
  </si>
  <si>
    <t>PVC124-005-000</t>
  </si>
  <si>
    <t>TEE DWV INYECTADO DRENAJE 6"</t>
  </si>
  <si>
    <t>PVC124-006-000</t>
  </si>
  <si>
    <t>TEE DWV INYECTADO DRENAJE 3" CORTO</t>
  </si>
  <si>
    <t>PVC124-007-000</t>
  </si>
  <si>
    <t>TEE DWV INYECTADO DRENAJE 4" CORTO</t>
  </si>
  <si>
    <t>PVC126-001-000</t>
  </si>
  <si>
    <t>REDUCTOR DRENAJE TUBO DWV INYECTADO 3X2</t>
  </si>
  <si>
    <t>PVC127-001-000</t>
  </si>
  <si>
    <t>REDUCTOR DRENAJE TUBO DWV INYECTADO 4X2</t>
  </si>
  <si>
    <t>PVC127-002-000</t>
  </si>
  <si>
    <t>REDUCTOR DRENAJE TUBO DWV INYECTADO 4X3</t>
  </si>
  <si>
    <t>PVC127-003-000</t>
  </si>
  <si>
    <t>REDUCTOR DRENAJE TUBO DWV INYECTADO 4X6</t>
  </si>
  <si>
    <t>SPR000-000-053</t>
  </si>
  <si>
    <t>SPRAY CROMO BRILLANTE #318 NORTHWEST</t>
  </si>
  <si>
    <t>SPR000-000-057</t>
  </si>
  <si>
    <t>SPRAY NEGRO BRILLANTE #39 NORTHWEST</t>
  </si>
  <si>
    <t>SPR000-000-059</t>
  </si>
  <si>
    <t>SPRAY BLANCO BRILLANTE #40 NORTHWEST</t>
  </si>
  <si>
    <t>SPR001-000-000</t>
  </si>
  <si>
    <t>LIMPIADOR DE CONTACTOS CONTACT CLEANER NORTHWEST</t>
  </si>
  <si>
    <t>SPR001-000-001</t>
  </si>
  <si>
    <r>
      <rPr>
        <sz val="11"/>
        <rFont val="Arial"/>
        <family val="2"/>
      </rPr>
      <t>LIMPIADOR DE FRENOS BRAKE CLEANER
NORTHWEST</t>
    </r>
  </si>
  <si>
    <t>SPR003-000-0003</t>
  </si>
  <si>
    <t>TOR000-014-001</t>
  </si>
  <si>
    <t>TORNILLO PUNTA BROCA 1/4 X 1</t>
  </si>
  <si>
    <t>TOR000-014-002</t>
  </si>
  <si>
    <t>TORNILLO PUNTA BROCA 1/4 X 2</t>
  </si>
  <si>
    <t>TOR000-014-003</t>
  </si>
  <si>
    <t>TORNILLO PUNTA BROCA 1/4 X 3</t>
  </si>
  <si>
    <t>TOR000-014-004</t>
  </si>
  <si>
    <t>TORNILLO PUNTA BROCA 1/4 X 4</t>
  </si>
  <si>
    <t>TOR000-014-034</t>
  </si>
  <si>
    <t>TORNILLO PUNTA BROCA 1/4 X 3/4</t>
  </si>
  <si>
    <t>TOR000-014-112</t>
  </si>
  <si>
    <t>TORNILLO PUNTA BROCA 1/4 X 1.1/2</t>
  </si>
  <si>
    <t>TOR000-014-212</t>
  </si>
  <si>
    <t>TORNILLO PUNTA BROCA 1/4 X 2.1/2</t>
  </si>
  <si>
    <t>TOR001-014-212</t>
  </si>
  <si>
    <t>TORNILLO PUNTA BROCA 1/4 X 2.1/2 ROJO</t>
  </si>
  <si>
    <t>TOR002-014-001</t>
  </si>
  <si>
    <t>TORNILLO PUNTA FINA 1/4 X 1</t>
  </si>
  <si>
    <t>TOR002-014-002</t>
  </si>
  <si>
    <t>TORNILLO PUNTA FINA 1/4 X 2</t>
  </si>
  <si>
    <t>TOR002-014-003</t>
  </si>
  <si>
    <t>TORNILLO PUNTA FINA 1/4 X 3</t>
  </si>
  <si>
    <t>TOR002-014-004</t>
  </si>
  <si>
    <t>TORNILLO PUNTA FINA 1/4 X 4</t>
  </si>
  <si>
    <t>TOR002-014-112</t>
  </si>
  <si>
    <t>TORNILLO PUNTA FINA 1/4 X 1.1/2</t>
  </si>
  <si>
    <t>TOR002-014-212</t>
  </si>
  <si>
    <t>TORNILLO PUNTA FINA 1/4 X 2.1/2</t>
  </si>
  <si>
    <t>TOR002-014-312</t>
  </si>
  <si>
    <t>TORNILLO PUNTA FINA 1/4 X 3.1/2</t>
  </si>
  <si>
    <t>TOR003-716-000</t>
  </si>
  <si>
    <t>FRIJOLITO PUNTA BROCA 7X 7/16 BLACK</t>
  </si>
  <si>
    <t>TOR004-716-000</t>
  </si>
  <si>
    <t>FRIJOLITO PUNTA BROCA 7X7-16 ZINC</t>
  </si>
  <si>
    <t>TOR005-716-000</t>
  </si>
  <si>
    <t>FRIJOLITO PUNTA FINA 7X 7/16 BLACK</t>
  </si>
  <si>
    <t>TOR006-716-000</t>
  </si>
  <si>
    <t>FRIJOLITO PUNTA FINA 7X7/16 ZINC</t>
  </si>
  <si>
    <r>
      <rPr>
        <sz val="10"/>
        <rFont val="Arial"/>
        <family val="2"/>
      </rPr>
      <t>LIMPIADOR DE CARBURADOR CARB CLEANER
NORTHWEST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</si>
</sst>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charset val="204"/>
    </font>
    <font>
      <sz val="10"/>
      <name val="Calibri"/>
    </font>
    <font>
      <b/>
      <sz val="11"/>
      <name val="Calibri"/>
    </font>
    <font>
      <sz val="10"/>
      <color rgb="FF000000"/>
      <name val="Calibri"/>
      <family val="2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left" vertical="top" wrapText="1" indent="9"/>
    </xf>
    <xf numFmtId="2" fontId="6" fillId="0" borderId="0" xfId="0" applyNumberFormat="1" applyFont="1" applyAlignment="1">
      <alignment horizontal="left" vertical="top" shrinkToFit="1"/>
    </xf>
    <xf numFmtId="2" fontId="6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0" fontId="5" fillId="2" borderId="0" xfId="0" applyFont="1" applyFill="1" applyAlignment="1">
      <alignment horizontal="center" vertical="top" wrapText="1"/>
    </xf>
    <xf numFmtId="2" fontId="6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2" fontId="10" fillId="0" borderId="0" xfId="1" applyNumberFormat="1" applyFont="1" applyAlignment="1">
      <alignment horizontal="right" vertical="top" shrinkToFit="1"/>
    </xf>
    <xf numFmtId="0" fontId="11" fillId="2" borderId="0" xfId="0" applyFont="1" applyFill="1" applyAlignment="1">
      <alignment horizontal="left" vertical="top" wrapText="1" indent="2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1" fontId="12" fillId="0" borderId="0" xfId="0" applyNumberFormat="1" applyFont="1" applyAlignment="1">
      <alignment horizontal="center" vertical="top" shrinkToFi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2" fontId="12" fillId="0" borderId="0" xfId="0" applyNumberFormat="1" applyFont="1" applyAlignment="1">
      <alignment horizontal="left" vertical="top" shrinkToFit="1"/>
    </xf>
    <xf numFmtId="0" fontId="13" fillId="0" borderId="0" xfId="0" applyFont="1" applyAlignment="1">
      <alignment horizontal="right" vertical="top" wrapText="1"/>
    </xf>
    <xf numFmtId="2" fontId="12" fillId="0" borderId="0" xfId="0" applyNumberFormat="1" applyFont="1" applyAlignment="1">
      <alignment horizontal="right" vertical="top" indent="1" shrinkToFit="1"/>
    </xf>
    <xf numFmtId="0" fontId="13" fillId="0" borderId="0" xfId="0" applyFont="1" applyAlignment="1">
      <alignment horizontal="left" vertical="top" wrapText="1"/>
    </xf>
    <xf numFmtId="2" fontId="12" fillId="0" borderId="0" xfId="0" applyNumberFormat="1" applyFont="1" applyAlignment="1">
      <alignment horizontal="right" vertical="top" shrinkToFit="1"/>
    </xf>
    <xf numFmtId="4" fontId="12" fillId="0" borderId="0" xfId="0" applyNumberFormat="1" applyFont="1" applyAlignment="1">
      <alignment horizontal="right" vertical="top" shrinkToFit="1"/>
    </xf>
    <xf numFmtId="2" fontId="12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left" vertical="top" wrapText="1" indent="9"/>
    </xf>
    <xf numFmtId="0" fontId="11" fillId="2" borderId="0" xfId="0" applyFont="1" applyFill="1" applyAlignment="1">
      <alignment horizontal="left" vertical="top" wrapText="1" indent="1"/>
    </xf>
    <xf numFmtId="0" fontId="11" fillId="2" borderId="0" xfId="0" applyFont="1" applyFill="1" applyAlignment="1">
      <alignment horizontal="left" vertical="top" wrapText="1" indent="3"/>
    </xf>
    <xf numFmtId="0" fontId="11" fillId="2" borderId="0" xfId="0" applyFont="1" applyFill="1" applyAlignment="1">
      <alignment horizontal="right" vertical="top" wrapText="1"/>
    </xf>
    <xf numFmtId="2" fontId="12" fillId="0" borderId="0" xfId="0" applyNumberFormat="1" applyFont="1" applyAlignment="1">
      <alignment horizontal="center" vertical="top" shrinkToFit="1"/>
    </xf>
    <xf numFmtId="2" fontId="12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4" fontId="12" fillId="0" borderId="0" xfId="0" applyNumberFormat="1" applyFont="1" applyAlignment="1">
      <alignment horizontal="right" vertical="top" shrinkToFit="1"/>
    </xf>
    <xf numFmtId="1" fontId="14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2" fontId="14" fillId="0" borderId="0" xfId="0" applyNumberFormat="1" applyFont="1" applyAlignment="1">
      <alignment horizontal="center" vertical="top" shrinkToFit="1"/>
    </xf>
    <xf numFmtId="2" fontId="14" fillId="0" borderId="0" xfId="0" applyNumberFormat="1" applyFont="1" applyAlignment="1">
      <alignment horizontal="left" vertical="top" indent="3" shrinkToFit="1"/>
    </xf>
    <xf numFmtId="2" fontId="14" fillId="0" borderId="0" xfId="0" applyNumberFormat="1" applyFont="1" applyAlignment="1">
      <alignment horizontal="right" vertical="top" shrinkToFit="1"/>
    </xf>
    <xf numFmtId="2" fontId="14" fillId="0" borderId="0" xfId="0" applyNumberFormat="1" applyFont="1" applyAlignment="1">
      <alignment horizontal="right" vertical="top" indent="1" shrinkToFit="1"/>
    </xf>
    <xf numFmtId="4" fontId="14" fillId="0" borderId="0" xfId="0" applyNumberFormat="1" applyFont="1" applyAlignment="1">
      <alignment horizontal="left" vertical="top" indent="2" shrinkToFit="1"/>
    </xf>
    <xf numFmtId="4" fontId="14" fillId="0" borderId="0" xfId="0" applyNumberFormat="1" applyFont="1" applyAlignment="1">
      <alignment horizontal="right" vertical="top" shrinkToFit="1"/>
    </xf>
    <xf numFmtId="1" fontId="14" fillId="0" borderId="0" xfId="0" applyNumberFormat="1" applyFont="1" applyAlignment="1">
      <alignment horizontal="right" vertical="top" shrinkToFit="1"/>
    </xf>
    <xf numFmtId="0" fontId="15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2" fontId="12" fillId="0" borderId="0" xfId="0" applyNumberFormat="1" applyFont="1" applyAlignment="1">
      <alignment horizontal="left" vertical="top" indent="2" shrinkToFit="1"/>
    </xf>
    <xf numFmtId="2" fontId="14" fillId="0" borderId="0" xfId="0" applyNumberFormat="1" applyFont="1" applyAlignment="1">
      <alignment horizontal="left" vertical="top" indent="1" shrinkToFit="1"/>
    </xf>
    <xf numFmtId="4" fontId="14" fillId="0" borderId="0" xfId="0" applyNumberFormat="1" applyFont="1" applyAlignment="1">
      <alignment horizontal="left" vertical="top" shrinkToFit="1"/>
    </xf>
    <xf numFmtId="2" fontId="14" fillId="0" borderId="0" xfId="0" applyNumberFormat="1" applyFont="1" applyAlignment="1">
      <alignment horizontal="left" vertical="top" indent="2" shrinkToFit="1"/>
    </xf>
    <xf numFmtId="4" fontId="12" fillId="0" borderId="0" xfId="0" applyNumberFormat="1" applyFont="1" applyAlignment="1">
      <alignment horizontal="center" vertical="top" shrinkToFit="1"/>
    </xf>
  </cellXfs>
  <cellStyles count="2">
    <cellStyle name="Normal" xfId="0" builtinId="0"/>
    <cellStyle name="Normal 2" xfId="1" xr:uid="{3F5A38C7-E376-40E5-B86C-44DDC3FB5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20E2-0289-40D5-A756-E594508720C9}">
  <dimension ref="A2:D676"/>
  <sheetViews>
    <sheetView tabSelected="1" topLeftCell="A344" workbookViewId="0">
      <selection activeCell="B358" sqref="B358"/>
    </sheetView>
  </sheetViews>
  <sheetFormatPr baseColWidth="10" defaultRowHeight="15" x14ac:dyDescent="0.25"/>
  <cols>
    <col min="2" max="2" width="76.85546875" customWidth="1"/>
    <col min="3" max="3" width="24.28515625" customWidth="1"/>
    <col min="4" max="4" width="22.28515625" customWidth="1"/>
  </cols>
  <sheetData>
    <row r="2" spans="1:4" x14ac:dyDescent="0.25">
      <c r="B2" t="s">
        <v>0</v>
      </c>
    </row>
    <row r="4" spans="1:4" x14ac:dyDescent="0.25">
      <c r="A4" s="14"/>
      <c r="B4" s="14" t="s">
        <v>1</v>
      </c>
      <c r="C4" s="14" t="s">
        <v>654</v>
      </c>
      <c r="D4" s="14" t="s">
        <v>2</v>
      </c>
    </row>
    <row r="5" spans="1:4" x14ac:dyDescent="0.25">
      <c r="A5" s="14"/>
      <c r="B5" s="14"/>
      <c r="C5" s="14"/>
      <c r="D5" s="14"/>
    </row>
    <row r="6" spans="1:4" x14ac:dyDescent="0.25">
      <c r="A6" s="14"/>
      <c r="B6" s="15" t="s">
        <v>9</v>
      </c>
      <c r="C6" s="15"/>
      <c r="D6" s="14"/>
    </row>
    <row r="7" spans="1:4" x14ac:dyDescent="0.25">
      <c r="A7" s="14"/>
      <c r="B7" s="14"/>
      <c r="C7" s="14"/>
      <c r="D7" s="14"/>
    </row>
    <row r="8" spans="1:4" x14ac:dyDescent="0.25">
      <c r="A8" s="14"/>
      <c r="B8" s="14" t="s">
        <v>3</v>
      </c>
      <c r="C8" s="14"/>
      <c r="D8" s="14">
        <v>236</v>
      </c>
    </row>
    <row r="9" spans="1:4" x14ac:dyDescent="0.25">
      <c r="A9" s="14"/>
      <c r="B9" s="14" t="s">
        <v>4</v>
      </c>
      <c r="C9" s="14"/>
      <c r="D9" s="14">
        <v>225</v>
      </c>
    </row>
    <row r="10" spans="1:4" x14ac:dyDescent="0.25">
      <c r="A10" s="14"/>
      <c r="B10" s="14" t="s">
        <v>5</v>
      </c>
      <c r="C10" s="14"/>
      <c r="D10" s="14">
        <v>197</v>
      </c>
    </row>
    <row r="11" spans="1:4" x14ac:dyDescent="0.25">
      <c r="A11" s="14"/>
      <c r="B11" s="14" t="s">
        <v>6</v>
      </c>
      <c r="C11" s="14"/>
      <c r="D11" s="14">
        <v>212</v>
      </c>
    </row>
    <row r="12" spans="1:4" x14ac:dyDescent="0.25">
      <c r="A12" s="14"/>
      <c r="B12" s="14" t="s">
        <v>7</v>
      </c>
      <c r="C12" s="14"/>
      <c r="D12" s="14">
        <v>215</v>
      </c>
    </row>
    <row r="13" spans="1:4" x14ac:dyDescent="0.25">
      <c r="A13" s="14"/>
      <c r="B13" s="14" t="s">
        <v>655</v>
      </c>
      <c r="C13" s="14">
        <v>202.4</v>
      </c>
      <c r="D13" s="14">
        <v>223</v>
      </c>
    </row>
    <row r="14" spans="1:4" x14ac:dyDescent="0.25">
      <c r="A14" s="14"/>
      <c r="B14" s="15" t="s">
        <v>642</v>
      </c>
      <c r="C14" s="15"/>
      <c r="D14" s="14"/>
    </row>
    <row r="15" spans="1:4" x14ac:dyDescent="0.25">
      <c r="A15" s="14"/>
      <c r="B15" s="14"/>
      <c r="C15" s="14"/>
      <c r="D15" s="14"/>
    </row>
    <row r="16" spans="1:4" x14ac:dyDescent="0.25">
      <c r="A16" s="14">
        <v>80066</v>
      </c>
      <c r="B16" s="14" t="s">
        <v>643</v>
      </c>
      <c r="C16" s="14">
        <v>105</v>
      </c>
      <c r="D16" s="14">
        <v>116</v>
      </c>
    </row>
    <row r="17" spans="1:4" x14ac:dyDescent="0.25">
      <c r="A17" s="14">
        <v>80077</v>
      </c>
      <c r="B17" s="14" t="s">
        <v>644</v>
      </c>
      <c r="C17" s="14">
        <v>121.9</v>
      </c>
      <c r="D17" s="14">
        <v>135</v>
      </c>
    </row>
    <row r="18" spans="1:4" x14ac:dyDescent="0.25">
      <c r="A18" s="14">
        <v>80080</v>
      </c>
      <c r="B18" s="14" t="s">
        <v>645</v>
      </c>
      <c r="C18" s="14">
        <v>186.9</v>
      </c>
      <c r="D18" s="14">
        <v>206</v>
      </c>
    </row>
    <row r="19" spans="1:4" x14ac:dyDescent="0.25">
      <c r="A19" s="14">
        <v>80025</v>
      </c>
      <c r="B19" s="14" t="s">
        <v>646</v>
      </c>
      <c r="C19" s="14">
        <v>79.349999999999994</v>
      </c>
      <c r="D19" s="14">
        <v>88</v>
      </c>
    </row>
    <row r="20" spans="1:4" x14ac:dyDescent="0.25">
      <c r="A20" s="14">
        <v>80026</v>
      </c>
      <c r="B20" s="14" t="s">
        <v>647</v>
      </c>
      <c r="C20" s="14">
        <v>150.65</v>
      </c>
      <c r="D20" s="14">
        <v>166</v>
      </c>
    </row>
    <row r="21" spans="1:4" x14ac:dyDescent="0.25">
      <c r="A21" s="14">
        <v>80070</v>
      </c>
      <c r="B21" s="14" t="s">
        <v>648</v>
      </c>
      <c r="C21" s="14">
        <v>186.9</v>
      </c>
      <c r="D21" s="14">
        <v>206</v>
      </c>
    </row>
    <row r="22" spans="1:4" x14ac:dyDescent="0.25">
      <c r="A22" s="14">
        <v>80078</v>
      </c>
      <c r="B22" s="14" t="s">
        <v>649</v>
      </c>
      <c r="C22" s="14">
        <v>340.5</v>
      </c>
      <c r="D22" s="14">
        <v>375</v>
      </c>
    </row>
    <row r="23" spans="1:4" x14ac:dyDescent="0.25">
      <c r="A23" s="14" t="s">
        <v>650</v>
      </c>
      <c r="B23" s="14" t="s">
        <v>652</v>
      </c>
      <c r="C23" s="14">
        <v>121.9</v>
      </c>
      <c r="D23" s="14">
        <v>135</v>
      </c>
    </row>
    <row r="24" spans="1:4" x14ac:dyDescent="0.25">
      <c r="A24" s="14" t="s">
        <v>651</v>
      </c>
      <c r="B24" s="14" t="s">
        <v>653</v>
      </c>
      <c r="C24" s="14">
        <v>127.65</v>
      </c>
      <c r="D24" s="14">
        <v>141</v>
      </c>
    </row>
    <row r="25" spans="1:4" x14ac:dyDescent="0.25">
      <c r="A25" s="14">
        <v>80056</v>
      </c>
      <c r="B25" s="14" t="s">
        <v>666</v>
      </c>
      <c r="C25" s="14">
        <v>98.35</v>
      </c>
      <c r="D25" s="14">
        <v>109</v>
      </c>
    </row>
    <row r="26" spans="1:4" x14ac:dyDescent="0.25">
      <c r="A26" s="14">
        <v>80057</v>
      </c>
      <c r="B26" s="14" t="s">
        <v>667</v>
      </c>
      <c r="C26" s="14">
        <v>102.35</v>
      </c>
      <c r="D26" s="14">
        <v>113</v>
      </c>
    </row>
    <row r="27" spans="1:4" x14ac:dyDescent="0.25">
      <c r="A27" s="14"/>
      <c r="B27" s="14"/>
      <c r="C27" s="14"/>
      <c r="D27" s="14"/>
    </row>
    <row r="28" spans="1:4" x14ac:dyDescent="0.25">
      <c r="A28" s="14"/>
      <c r="B28" s="15" t="s">
        <v>656</v>
      </c>
      <c r="C28" s="14"/>
      <c r="D28" s="14"/>
    </row>
    <row r="29" spans="1:4" x14ac:dyDescent="0.25">
      <c r="A29" s="14"/>
      <c r="B29" s="14" t="s">
        <v>657</v>
      </c>
      <c r="C29" s="14">
        <v>219.68450000000001</v>
      </c>
      <c r="D29" s="14">
        <v>242</v>
      </c>
    </row>
    <row r="30" spans="1:4" x14ac:dyDescent="0.25">
      <c r="A30" s="14"/>
      <c r="B30" s="14" t="s">
        <v>658</v>
      </c>
      <c r="C30" s="14">
        <v>291.61700000000002</v>
      </c>
      <c r="D30" s="14">
        <v>321</v>
      </c>
    </row>
    <row r="31" spans="1:4" x14ac:dyDescent="0.25">
      <c r="A31" s="14"/>
      <c r="B31" s="14" t="s">
        <v>659</v>
      </c>
      <c r="C31" s="14">
        <v>233.28899999999999</v>
      </c>
      <c r="D31" s="14">
        <v>257</v>
      </c>
    </row>
    <row r="32" spans="1:4" x14ac:dyDescent="0.25">
      <c r="A32" s="14"/>
      <c r="B32" s="14" t="s">
        <v>660</v>
      </c>
      <c r="C32" s="14">
        <v>202.86</v>
      </c>
      <c r="D32" s="14">
        <v>224</v>
      </c>
    </row>
    <row r="33" spans="1:4" x14ac:dyDescent="0.25">
      <c r="A33" s="14"/>
      <c r="B33" s="14" t="s">
        <v>661</v>
      </c>
      <c r="C33" s="14">
        <v>158.69999999999999</v>
      </c>
      <c r="D33" s="14">
        <v>175</v>
      </c>
    </row>
    <row r="34" spans="1:4" x14ac:dyDescent="0.25">
      <c r="A34" s="14"/>
      <c r="B34" s="14" t="s">
        <v>662</v>
      </c>
      <c r="C34" s="14">
        <v>98.325000000000003</v>
      </c>
      <c r="D34" s="14">
        <v>109</v>
      </c>
    </row>
    <row r="35" spans="1:4" x14ac:dyDescent="0.25">
      <c r="A35" s="14"/>
      <c r="B35" s="14" t="s">
        <v>663</v>
      </c>
      <c r="C35" s="14">
        <v>98.325000000000003</v>
      </c>
      <c r="D35" s="14">
        <v>109</v>
      </c>
    </row>
    <row r="36" spans="1:4" x14ac:dyDescent="0.25">
      <c r="A36" s="14"/>
      <c r="B36" s="14" t="s">
        <v>664</v>
      </c>
      <c r="C36" s="14">
        <v>380.65</v>
      </c>
      <c r="D36" s="14">
        <v>419</v>
      </c>
    </row>
    <row r="37" spans="1:4" x14ac:dyDescent="0.25">
      <c r="A37" s="14"/>
      <c r="B37" s="14" t="s">
        <v>665</v>
      </c>
      <c r="C37" s="14">
        <v>130.5</v>
      </c>
      <c r="D37" s="14">
        <v>144</v>
      </c>
    </row>
    <row r="38" spans="1:4" x14ac:dyDescent="0.25">
      <c r="A38" s="14"/>
      <c r="B38" s="14"/>
      <c r="C38" s="14"/>
      <c r="D38" s="14"/>
    </row>
    <row r="39" spans="1:4" x14ac:dyDescent="0.25">
      <c r="A39" s="14"/>
      <c r="B39" s="14" t="s">
        <v>700</v>
      </c>
      <c r="C39" s="14"/>
      <c r="D39" s="14"/>
    </row>
    <row r="40" spans="1:4" x14ac:dyDescent="0.25">
      <c r="A40" s="14"/>
      <c r="B40" s="14"/>
      <c r="C40" s="14"/>
      <c r="D40" s="14"/>
    </row>
    <row r="41" spans="1:4" x14ac:dyDescent="0.25">
      <c r="A41" s="14"/>
      <c r="B41" s="14" t="s">
        <v>701</v>
      </c>
      <c r="C41" s="14">
        <v>123.05</v>
      </c>
      <c r="D41" s="14">
        <v>135</v>
      </c>
    </row>
    <row r="42" spans="1:4" x14ac:dyDescent="0.25">
      <c r="A42" s="14"/>
      <c r="B42" s="14" t="s">
        <v>702</v>
      </c>
      <c r="C42" s="14">
        <v>116.15</v>
      </c>
      <c r="D42" s="14">
        <v>128</v>
      </c>
    </row>
    <row r="43" spans="1:4" x14ac:dyDescent="0.25">
      <c r="A43" s="14"/>
      <c r="B43" s="14" t="s">
        <v>703</v>
      </c>
      <c r="C43" s="14">
        <v>211.6</v>
      </c>
      <c r="D43" s="14">
        <v>232</v>
      </c>
    </row>
    <row r="44" spans="1:4" x14ac:dyDescent="0.25">
      <c r="A44" s="14"/>
      <c r="B44" s="14" t="s">
        <v>705</v>
      </c>
      <c r="C44" s="14">
        <v>136.85</v>
      </c>
      <c r="D44" s="14">
        <v>150</v>
      </c>
    </row>
    <row r="45" spans="1:4" x14ac:dyDescent="0.25">
      <c r="A45" s="14"/>
      <c r="B45" s="14" t="s">
        <v>704</v>
      </c>
      <c r="C45" s="14">
        <v>212.75</v>
      </c>
      <c r="D45" s="14">
        <v>234</v>
      </c>
    </row>
    <row r="46" spans="1:4" x14ac:dyDescent="0.25">
      <c r="A46" s="14"/>
      <c r="B46" s="14" t="s">
        <v>709</v>
      </c>
      <c r="C46" s="14">
        <v>188.6</v>
      </c>
      <c r="D46" s="14">
        <v>208</v>
      </c>
    </row>
    <row r="47" spans="1:4" x14ac:dyDescent="0.25">
      <c r="A47" s="14"/>
      <c r="B47" s="14" t="s">
        <v>708</v>
      </c>
      <c r="C47" s="14">
        <v>368</v>
      </c>
      <c r="D47" s="14">
        <v>405</v>
      </c>
    </row>
    <row r="48" spans="1:4" x14ac:dyDescent="0.25">
      <c r="A48" s="14"/>
      <c r="B48" s="14" t="s">
        <v>707</v>
      </c>
      <c r="C48" s="14">
        <v>644</v>
      </c>
      <c r="D48" s="14">
        <v>708</v>
      </c>
    </row>
    <row r="49" spans="1:4" x14ac:dyDescent="0.25">
      <c r="A49" s="14"/>
      <c r="B49" s="14" t="s">
        <v>706</v>
      </c>
      <c r="C49" s="14">
        <v>184</v>
      </c>
      <c r="D49" s="14">
        <v>212</v>
      </c>
    </row>
    <row r="50" spans="1:4" x14ac:dyDescent="0.25">
      <c r="A50" s="14"/>
      <c r="B50" s="14"/>
      <c r="C50" s="14"/>
      <c r="D50" s="14"/>
    </row>
    <row r="51" spans="1:4" x14ac:dyDescent="0.25">
      <c r="A51" s="14"/>
      <c r="B51" s="14"/>
      <c r="C51" s="14"/>
      <c r="D51" s="14"/>
    </row>
    <row r="52" spans="1:4" x14ac:dyDescent="0.25">
      <c r="A52" s="14"/>
      <c r="B52" s="14"/>
      <c r="C52" s="14"/>
      <c r="D52" s="14"/>
    </row>
    <row r="53" spans="1:4" x14ac:dyDescent="0.25">
      <c r="A53" s="14"/>
      <c r="B53" s="14"/>
      <c r="C53" s="14"/>
      <c r="D53" s="14"/>
    </row>
    <row r="54" spans="1:4" x14ac:dyDescent="0.25">
      <c r="A54" s="14"/>
      <c r="B54" s="15" t="s">
        <v>668</v>
      </c>
      <c r="C54" s="14"/>
      <c r="D54" s="14"/>
    </row>
    <row r="55" spans="1:4" x14ac:dyDescent="0.25">
      <c r="A55" s="14"/>
      <c r="B55" s="14"/>
      <c r="C55" s="14"/>
      <c r="D55" s="14"/>
    </row>
    <row r="56" spans="1:4" x14ac:dyDescent="0.25">
      <c r="A56" s="14"/>
      <c r="B56" s="14" t="s">
        <v>669</v>
      </c>
      <c r="C56" s="14">
        <v>260</v>
      </c>
      <c r="D56" s="14">
        <v>286</v>
      </c>
    </row>
    <row r="57" spans="1:4" x14ac:dyDescent="0.25">
      <c r="A57" s="14"/>
      <c r="B57" s="14" t="s">
        <v>670</v>
      </c>
      <c r="C57" s="14">
        <v>353.69400000000002</v>
      </c>
      <c r="D57" s="14">
        <v>389</v>
      </c>
    </row>
    <row r="58" spans="1:4" x14ac:dyDescent="0.25">
      <c r="A58" s="14"/>
      <c r="B58" s="14" t="s">
        <v>671</v>
      </c>
      <c r="C58" s="14">
        <v>388.56200000000001</v>
      </c>
      <c r="D58" s="14">
        <v>428</v>
      </c>
    </row>
    <row r="59" spans="1:4" x14ac:dyDescent="0.25">
      <c r="A59" s="14"/>
      <c r="B59" s="14" t="s">
        <v>672</v>
      </c>
      <c r="C59" s="14">
        <v>424.68299999999999</v>
      </c>
      <c r="D59" s="14">
        <v>468</v>
      </c>
    </row>
    <row r="60" spans="1:4" x14ac:dyDescent="0.25">
      <c r="A60" s="14"/>
      <c r="B60" s="14" t="s">
        <v>673</v>
      </c>
      <c r="C60" s="14">
        <v>474.13350000000003</v>
      </c>
      <c r="D60" s="14">
        <v>522</v>
      </c>
    </row>
    <row r="61" spans="1:4" x14ac:dyDescent="0.25">
      <c r="A61" s="14"/>
      <c r="B61" s="14" t="s">
        <v>674</v>
      </c>
      <c r="C61" s="14">
        <v>535.61249999999995</v>
      </c>
      <c r="D61" s="14">
        <v>590</v>
      </c>
    </row>
    <row r="62" spans="1:4" x14ac:dyDescent="0.25">
      <c r="A62" s="14"/>
      <c r="B62" s="14" t="s">
        <v>675</v>
      </c>
      <c r="C62" s="14">
        <v>519.48950000000002</v>
      </c>
      <c r="D62" s="14">
        <v>598</v>
      </c>
    </row>
    <row r="63" spans="1:4" x14ac:dyDescent="0.25">
      <c r="A63" s="14"/>
      <c r="B63" s="14" t="s">
        <v>676</v>
      </c>
      <c r="C63" s="14">
        <v>592.12350000000004</v>
      </c>
      <c r="D63" s="14">
        <v>652</v>
      </c>
    </row>
    <row r="64" spans="1:4" x14ac:dyDescent="0.25">
      <c r="A64" s="14"/>
      <c r="B64" s="14" t="s">
        <v>677</v>
      </c>
      <c r="C64" s="14">
        <v>659.15700000000004</v>
      </c>
      <c r="D64" s="14">
        <v>725</v>
      </c>
    </row>
    <row r="65" spans="1:4" x14ac:dyDescent="0.25">
      <c r="A65" s="14"/>
      <c r="B65" s="14"/>
      <c r="C65" s="14"/>
      <c r="D65" s="14"/>
    </row>
    <row r="66" spans="1:4" x14ac:dyDescent="0.25">
      <c r="A66" s="14"/>
      <c r="B66" s="15" t="s">
        <v>678</v>
      </c>
      <c r="C66" s="14"/>
      <c r="D66" s="14"/>
    </row>
    <row r="67" spans="1:4" x14ac:dyDescent="0.25">
      <c r="A67" s="14"/>
      <c r="B67" s="14" t="s">
        <v>679</v>
      </c>
      <c r="C67" s="14">
        <v>40</v>
      </c>
      <c r="D67" s="14">
        <v>44</v>
      </c>
    </row>
    <row r="68" spans="1:4" x14ac:dyDescent="0.25">
      <c r="A68" s="14"/>
      <c r="B68" s="14" t="s">
        <v>680</v>
      </c>
      <c r="C68" s="14">
        <v>42</v>
      </c>
      <c r="D68" s="14">
        <v>46.2</v>
      </c>
    </row>
    <row r="69" spans="1:4" x14ac:dyDescent="0.25">
      <c r="A69" s="14"/>
      <c r="B69" s="14" t="s">
        <v>681</v>
      </c>
      <c r="C69" s="14">
        <v>49</v>
      </c>
      <c r="D69" s="14">
        <v>53.9</v>
      </c>
    </row>
    <row r="70" spans="1:4" x14ac:dyDescent="0.25">
      <c r="A70" s="14"/>
      <c r="B70" s="14" t="s">
        <v>682</v>
      </c>
      <c r="C70" s="14">
        <v>43</v>
      </c>
      <c r="D70" s="14">
        <v>47.3</v>
      </c>
    </row>
    <row r="71" spans="1:4" x14ac:dyDescent="0.25">
      <c r="A71" s="14"/>
      <c r="B71" s="14" t="s">
        <v>683</v>
      </c>
      <c r="C71" s="14">
        <v>50</v>
      </c>
      <c r="D71" s="14">
        <v>55</v>
      </c>
    </row>
    <row r="72" spans="1:4" x14ac:dyDescent="0.25">
      <c r="A72" s="14"/>
      <c r="B72" s="14" t="s">
        <v>684</v>
      </c>
      <c r="C72" s="14">
        <v>57</v>
      </c>
      <c r="D72" s="14">
        <v>62.7</v>
      </c>
    </row>
    <row r="73" spans="1:4" x14ac:dyDescent="0.25">
      <c r="A73" s="14"/>
      <c r="B73" s="14" t="s">
        <v>685</v>
      </c>
      <c r="C73" s="14">
        <v>67</v>
      </c>
      <c r="D73" s="14">
        <v>73.7</v>
      </c>
    </row>
    <row r="74" spans="1:4" x14ac:dyDescent="0.25">
      <c r="A74" s="14"/>
      <c r="B74" s="14" t="s">
        <v>686</v>
      </c>
      <c r="C74" s="14">
        <v>75</v>
      </c>
      <c r="D74" s="14">
        <v>82.5</v>
      </c>
    </row>
    <row r="75" spans="1:4" x14ac:dyDescent="0.25">
      <c r="A75" s="14"/>
      <c r="B75" s="14"/>
      <c r="C75" s="14"/>
      <c r="D75" s="14"/>
    </row>
    <row r="76" spans="1:4" x14ac:dyDescent="0.25">
      <c r="A76" s="14"/>
      <c r="B76" s="14"/>
      <c r="C76" s="14"/>
      <c r="D76" s="14"/>
    </row>
    <row r="77" spans="1:4" x14ac:dyDescent="0.25">
      <c r="A77" s="14"/>
      <c r="B77" s="14"/>
      <c r="C77" s="14"/>
      <c r="D77" s="14"/>
    </row>
    <row r="78" spans="1:4" x14ac:dyDescent="0.25">
      <c r="A78" s="14"/>
      <c r="B78" s="15" t="s">
        <v>8</v>
      </c>
      <c r="C78" s="15"/>
      <c r="D78" s="14"/>
    </row>
    <row r="79" spans="1:4" x14ac:dyDescent="0.25">
      <c r="A79" s="14"/>
      <c r="B79" s="14"/>
      <c r="C79" s="14"/>
      <c r="D79" s="14"/>
    </row>
    <row r="80" spans="1:4" x14ac:dyDescent="0.25">
      <c r="A80" s="14"/>
      <c r="B80" s="14" t="s">
        <v>10</v>
      </c>
      <c r="C80" s="14"/>
      <c r="D80" s="14">
        <v>260</v>
      </c>
    </row>
    <row r="81" spans="1:4" x14ac:dyDescent="0.25">
      <c r="A81" s="14"/>
      <c r="B81" s="14" t="s">
        <v>11</v>
      </c>
      <c r="C81" s="14"/>
      <c r="D81" s="14">
        <v>595</v>
      </c>
    </row>
    <row r="82" spans="1:4" x14ac:dyDescent="0.25">
      <c r="A82" s="14"/>
      <c r="B82" s="14" t="s">
        <v>12</v>
      </c>
      <c r="C82" s="14"/>
      <c r="D82" s="14">
        <v>147</v>
      </c>
    </row>
    <row r="83" spans="1:4" x14ac:dyDescent="0.25">
      <c r="A83" s="14"/>
      <c r="B83" s="14" t="s">
        <v>13</v>
      </c>
      <c r="C83" s="14"/>
      <c r="D83" s="14">
        <v>405</v>
      </c>
    </row>
    <row r="84" spans="1:4" x14ac:dyDescent="0.25">
      <c r="A84" s="14"/>
      <c r="B84" s="14" t="s">
        <v>14</v>
      </c>
      <c r="C84" s="14"/>
      <c r="D84" s="14">
        <v>94</v>
      </c>
    </row>
    <row r="85" spans="1:4" x14ac:dyDescent="0.25">
      <c r="A85" s="14"/>
      <c r="B85" s="14" t="s">
        <v>15</v>
      </c>
      <c r="C85" s="14"/>
      <c r="D85" s="14">
        <v>60</v>
      </c>
    </row>
    <row r="86" spans="1:4" x14ac:dyDescent="0.25">
      <c r="A86" s="14"/>
      <c r="B86" s="14" t="s">
        <v>16</v>
      </c>
      <c r="C86" s="14"/>
      <c r="D86" s="14">
        <v>109</v>
      </c>
    </row>
    <row r="87" spans="1:4" x14ac:dyDescent="0.25">
      <c r="A87" s="14"/>
      <c r="B87" s="14" t="s">
        <v>17</v>
      </c>
      <c r="C87" s="14"/>
      <c r="D87" s="14">
        <v>178</v>
      </c>
    </row>
    <row r="88" spans="1:4" x14ac:dyDescent="0.25">
      <c r="A88" s="14"/>
      <c r="B88" s="14" t="s">
        <v>18</v>
      </c>
      <c r="C88" s="14"/>
      <c r="D88" s="14">
        <v>176</v>
      </c>
    </row>
    <row r="89" spans="1:4" x14ac:dyDescent="0.25">
      <c r="A89" s="14"/>
      <c r="B89" s="14" t="s">
        <v>19</v>
      </c>
      <c r="C89" s="14"/>
      <c r="D89" s="14">
        <v>270</v>
      </c>
    </row>
    <row r="90" spans="1:4" x14ac:dyDescent="0.25">
      <c r="A90" s="14"/>
      <c r="B90" s="14" t="s">
        <v>20</v>
      </c>
      <c r="C90" s="14"/>
      <c r="D90" s="14">
        <v>45</v>
      </c>
    </row>
    <row r="91" spans="1:4" x14ac:dyDescent="0.25">
      <c r="A91" s="14"/>
      <c r="B91" s="14" t="s">
        <v>21</v>
      </c>
      <c r="C91" s="14"/>
      <c r="D91" s="14">
        <v>150</v>
      </c>
    </row>
    <row r="92" spans="1:4" x14ac:dyDescent="0.25">
      <c r="A92" s="14"/>
      <c r="B92" s="14" t="s">
        <v>22</v>
      </c>
      <c r="C92" s="14"/>
      <c r="D92" s="14">
        <v>162</v>
      </c>
    </row>
    <row r="93" spans="1:4" x14ac:dyDescent="0.25">
      <c r="A93" s="14"/>
      <c r="B93" s="14" t="s">
        <v>23</v>
      </c>
      <c r="C93" s="14"/>
      <c r="D93" s="14">
        <v>98</v>
      </c>
    </row>
    <row r="94" spans="1:4" x14ac:dyDescent="0.25">
      <c r="A94" s="14"/>
      <c r="B94" s="14" t="s">
        <v>24</v>
      </c>
      <c r="C94" s="14"/>
      <c r="D94" s="14">
        <v>72</v>
      </c>
    </row>
    <row r="95" spans="1:4" x14ac:dyDescent="0.25">
      <c r="A95" s="14"/>
      <c r="B95" s="14" t="s">
        <v>25</v>
      </c>
      <c r="C95" s="14"/>
      <c r="D95" s="14">
        <v>193</v>
      </c>
    </row>
    <row r="96" spans="1:4" x14ac:dyDescent="0.25">
      <c r="A96" s="14"/>
      <c r="B96" s="14" t="s">
        <v>26</v>
      </c>
      <c r="C96" s="14"/>
      <c r="D96" s="14">
        <v>42</v>
      </c>
    </row>
    <row r="97" spans="1:4" x14ac:dyDescent="0.25">
      <c r="A97" s="14"/>
      <c r="B97" s="14" t="s">
        <v>27</v>
      </c>
      <c r="C97" s="14"/>
      <c r="D97" s="14">
        <v>124</v>
      </c>
    </row>
    <row r="98" spans="1:4" x14ac:dyDescent="0.25">
      <c r="A98" s="14"/>
      <c r="B98" s="14"/>
      <c r="C98" s="14"/>
      <c r="D98" s="14"/>
    </row>
    <row r="99" spans="1:4" x14ac:dyDescent="0.25">
      <c r="A99" s="14"/>
      <c r="B99" s="15" t="s">
        <v>76</v>
      </c>
      <c r="C99" s="15"/>
      <c r="D99" s="14"/>
    </row>
    <row r="100" spans="1:4" x14ac:dyDescent="0.25">
      <c r="A100" s="14"/>
      <c r="B100" s="14"/>
      <c r="C100" s="14"/>
      <c r="D100" s="14"/>
    </row>
    <row r="101" spans="1:4" x14ac:dyDescent="0.25">
      <c r="A101" s="14"/>
      <c r="B101" s="14" t="s">
        <v>31</v>
      </c>
      <c r="C101" s="14"/>
      <c r="D101" s="14">
        <v>324.54000000000002</v>
      </c>
    </row>
    <row r="102" spans="1:4" x14ac:dyDescent="0.25">
      <c r="A102" s="14"/>
      <c r="B102" s="14" t="s">
        <v>32</v>
      </c>
      <c r="C102" s="14"/>
      <c r="D102" s="14">
        <v>389.45</v>
      </c>
    </row>
    <row r="103" spans="1:4" x14ac:dyDescent="0.25">
      <c r="A103" s="14"/>
      <c r="B103" s="14" t="s">
        <v>33</v>
      </c>
      <c r="C103" s="14"/>
      <c r="D103" s="14">
        <v>421.9</v>
      </c>
    </row>
    <row r="104" spans="1:4" x14ac:dyDescent="0.25">
      <c r="A104" s="14"/>
      <c r="B104" s="14" t="s">
        <v>34</v>
      </c>
      <c r="C104" s="14"/>
      <c r="D104" s="14">
        <v>454.37</v>
      </c>
    </row>
    <row r="105" spans="1:4" x14ac:dyDescent="0.25">
      <c r="A105" s="14"/>
      <c r="B105" s="14" t="s">
        <v>35</v>
      </c>
      <c r="C105" s="14"/>
      <c r="D105" s="14">
        <v>486.81</v>
      </c>
    </row>
    <row r="106" spans="1:4" x14ac:dyDescent="0.25">
      <c r="A106" s="14"/>
      <c r="B106" s="14" t="s">
        <v>36</v>
      </c>
      <c r="C106" s="14"/>
      <c r="D106" s="14">
        <v>519.26</v>
      </c>
    </row>
    <row r="107" spans="1:4" x14ac:dyDescent="0.25">
      <c r="A107" s="14"/>
      <c r="B107" s="14" t="s">
        <v>37</v>
      </c>
      <c r="C107" s="14"/>
      <c r="D107" s="14">
        <v>551.72</v>
      </c>
    </row>
    <row r="108" spans="1:4" x14ac:dyDescent="0.25">
      <c r="A108" s="14"/>
      <c r="B108" s="14" t="s">
        <v>38</v>
      </c>
      <c r="C108" s="14"/>
      <c r="D108" s="14">
        <v>584.16999999999996</v>
      </c>
    </row>
    <row r="109" spans="1:4" x14ac:dyDescent="0.25">
      <c r="A109" s="14"/>
      <c r="B109" s="14" t="s">
        <v>39</v>
      </c>
      <c r="C109" s="14"/>
      <c r="D109" s="14">
        <v>616.63</v>
      </c>
    </row>
    <row r="110" spans="1:4" x14ac:dyDescent="0.25">
      <c r="A110" s="14"/>
      <c r="B110" s="14" t="s">
        <v>40</v>
      </c>
      <c r="C110" s="14"/>
      <c r="D110" s="14">
        <v>649.08000000000004</v>
      </c>
    </row>
    <row r="111" spans="1:4" x14ac:dyDescent="0.25">
      <c r="A111" s="14"/>
      <c r="B111" s="14" t="s">
        <v>41</v>
      </c>
      <c r="C111" s="14"/>
      <c r="D111" s="14">
        <v>681.52</v>
      </c>
    </row>
    <row r="112" spans="1:4" x14ac:dyDescent="0.25">
      <c r="A112" s="14"/>
      <c r="B112" s="14" t="s">
        <v>42</v>
      </c>
      <c r="C112" s="14"/>
      <c r="D112" s="14">
        <v>713.99</v>
      </c>
    </row>
    <row r="113" spans="1:4" x14ac:dyDescent="0.25">
      <c r="A113" s="14"/>
      <c r="B113" s="14" t="s">
        <v>43</v>
      </c>
      <c r="C113" s="14"/>
      <c r="D113" s="14">
        <v>649.08000000000004</v>
      </c>
    </row>
    <row r="114" spans="1:4" x14ac:dyDescent="0.25">
      <c r="A114" s="14"/>
      <c r="B114" s="14" t="s">
        <v>30</v>
      </c>
      <c r="C114" s="14"/>
      <c r="D114" s="14">
        <v>778.89</v>
      </c>
    </row>
    <row r="115" spans="1:4" x14ac:dyDescent="0.25">
      <c r="A115" s="14"/>
      <c r="B115" s="14" t="s">
        <v>29</v>
      </c>
      <c r="C115" s="14"/>
      <c r="D115" s="14">
        <v>843.8</v>
      </c>
    </row>
    <row r="116" spans="1:4" x14ac:dyDescent="0.25">
      <c r="A116" s="14"/>
      <c r="B116" s="14" t="s">
        <v>28</v>
      </c>
      <c r="C116" s="14"/>
      <c r="D116" s="14">
        <v>222.8</v>
      </c>
    </row>
    <row r="117" spans="1:4" x14ac:dyDescent="0.25">
      <c r="A117" s="14"/>
      <c r="B117" s="14" t="s">
        <v>44</v>
      </c>
      <c r="C117" s="14"/>
      <c r="D117" s="14">
        <v>33</v>
      </c>
    </row>
    <row r="118" spans="1:4" x14ac:dyDescent="0.25">
      <c r="A118" s="14"/>
      <c r="B118" s="14"/>
      <c r="C118" s="14"/>
      <c r="D118" s="14"/>
    </row>
    <row r="119" spans="1:4" x14ac:dyDescent="0.25">
      <c r="A119" s="14"/>
      <c r="B119" s="14"/>
      <c r="C119" s="14"/>
      <c r="D119" s="14"/>
    </row>
    <row r="120" spans="1:4" x14ac:dyDescent="0.25">
      <c r="A120" s="14"/>
      <c r="B120" s="15" t="s">
        <v>75</v>
      </c>
      <c r="C120" s="15"/>
      <c r="D120" s="14"/>
    </row>
    <row r="121" spans="1:4" x14ac:dyDescent="0.25">
      <c r="A121" s="14"/>
      <c r="B121" s="14"/>
      <c r="C121" s="14"/>
      <c r="D121" s="14"/>
    </row>
    <row r="122" spans="1:4" x14ac:dyDescent="0.25">
      <c r="A122" s="14"/>
      <c r="B122" s="14" t="s">
        <v>45</v>
      </c>
      <c r="C122" s="14"/>
      <c r="D122" s="14">
        <v>345.01</v>
      </c>
    </row>
    <row r="123" spans="1:4" x14ac:dyDescent="0.25">
      <c r="A123" s="14"/>
      <c r="B123" s="14" t="s">
        <v>46</v>
      </c>
      <c r="C123" s="14"/>
      <c r="D123" s="14">
        <v>414.01</v>
      </c>
    </row>
    <row r="124" spans="1:4" x14ac:dyDescent="0.25">
      <c r="A124" s="14"/>
      <c r="B124" s="14" t="s">
        <v>47</v>
      </c>
      <c r="C124" s="14"/>
      <c r="D124" s="14">
        <v>448.51</v>
      </c>
    </row>
    <row r="125" spans="1:4" x14ac:dyDescent="0.25">
      <c r="A125" s="14"/>
      <c r="B125" s="14" t="s">
        <v>48</v>
      </c>
      <c r="C125" s="14"/>
      <c r="D125" s="14">
        <v>483.01</v>
      </c>
    </row>
    <row r="126" spans="1:4" x14ac:dyDescent="0.25">
      <c r="A126" s="14"/>
      <c r="B126" s="14" t="s">
        <v>49</v>
      </c>
      <c r="C126" s="14"/>
      <c r="D126" s="14">
        <v>517.51</v>
      </c>
    </row>
    <row r="127" spans="1:4" x14ac:dyDescent="0.25">
      <c r="A127" s="14"/>
      <c r="B127" s="14" t="s">
        <v>50</v>
      </c>
      <c r="C127" s="14"/>
      <c r="D127" s="14">
        <v>552.01</v>
      </c>
    </row>
    <row r="128" spans="1:4" x14ac:dyDescent="0.25">
      <c r="A128" s="14"/>
      <c r="B128" s="14" t="s">
        <v>51</v>
      </c>
      <c r="C128" s="14"/>
      <c r="D128" s="14">
        <v>586.51</v>
      </c>
    </row>
    <row r="129" spans="1:4" x14ac:dyDescent="0.25">
      <c r="A129" s="14"/>
      <c r="B129" s="14" t="s">
        <v>52</v>
      </c>
      <c r="C129" s="14"/>
      <c r="D129" s="14">
        <v>621.01</v>
      </c>
    </row>
    <row r="130" spans="1:4" x14ac:dyDescent="0.25">
      <c r="A130" s="14"/>
      <c r="B130" s="14" t="s">
        <v>53</v>
      </c>
      <c r="C130" s="14"/>
      <c r="D130" s="14">
        <v>655.51</v>
      </c>
    </row>
    <row r="131" spans="1:4" x14ac:dyDescent="0.25">
      <c r="A131" s="14"/>
      <c r="B131" s="14" t="s">
        <v>54</v>
      </c>
      <c r="C131" s="14"/>
      <c r="D131" s="14">
        <v>690.02</v>
      </c>
    </row>
    <row r="132" spans="1:4" x14ac:dyDescent="0.25">
      <c r="A132" s="14"/>
      <c r="B132" s="14" t="s">
        <v>55</v>
      </c>
      <c r="C132" s="14"/>
      <c r="D132" s="14">
        <v>724.52</v>
      </c>
    </row>
    <row r="133" spans="1:4" x14ac:dyDescent="0.25">
      <c r="A133" s="14"/>
      <c r="B133" s="14" t="s">
        <v>56</v>
      </c>
      <c r="C133" s="14"/>
      <c r="D133" s="14">
        <v>759.02</v>
      </c>
    </row>
    <row r="134" spans="1:4" x14ac:dyDescent="0.25">
      <c r="A134" s="14"/>
      <c r="B134" s="14" t="s">
        <v>57</v>
      </c>
      <c r="C134" s="14"/>
      <c r="D134" s="14">
        <v>793.52</v>
      </c>
    </row>
    <row r="135" spans="1:4" x14ac:dyDescent="0.25">
      <c r="A135" s="14"/>
      <c r="B135" s="14" t="s">
        <v>58</v>
      </c>
      <c r="C135" s="14"/>
      <c r="D135" s="14">
        <v>828.02</v>
      </c>
    </row>
    <row r="136" spans="1:4" x14ac:dyDescent="0.25">
      <c r="A136" s="14"/>
      <c r="B136" s="14"/>
      <c r="C136" s="14"/>
      <c r="D136" s="14"/>
    </row>
    <row r="137" spans="1:4" x14ac:dyDescent="0.25">
      <c r="A137" s="14"/>
      <c r="B137" s="15" t="s">
        <v>74</v>
      </c>
      <c r="C137" s="15"/>
      <c r="D137" s="14"/>
    </row>
    <row r="138" spans="1:4" x14ac:dyDescent="0.25">
      <c r="A138" s="14"/>
      <c r="B138" s="14"/>
      <c r="C138" s="14"/>
      <c r="D138" s="14"/>
    </row>
    <row r="139" spans="1:4" x14ac:dyDescent="0.25">
      <c r="A139" s="14"/>
      <c r="B139" s="14" t="s">
        <v>59</v>
      </c>
      <c r="C139" s="14"/>
      <c r="D139" s="14">
        <v>401.81</v>
      </c>
    </row>
    <row r="140" spans="1:4" x14ac:dyDescent="0.25">
      <c r="A140" s="14"/>
      <c r="B140" s="14" t="s">
        <v>60</v>
      </c>
      <c r="C140" s="14"/>
      <c r="D140" s="14">
        <v>482.17</v>
      </c>
    </row>
    <row r="141" spans="1:4" x14ac:dyDescent="0.25">
      <c r="A141" s="14"/>
      <c r="B141" s="14" t="s">
        <v>61</v>
      </c>
      <c r="C141" s="14"/>
      <c r="D141" s="14">
        <v>522.35</v>
      </c>
    </row>
    <row r="142" spans="1:4" x14ac:dyDescent="0.25">
      <c r="A142" s="14"/>
      <c r="B142" s="14" t="s">
        <v>62</v>
      </c>
      <c r="C142" s="14"/>
      <c r="D142" s="14">
        <v>562.53</v>
      </c>
    </row>
    <row r="143" spans="1:4" x14ac:dyDescent="0.25">
      <c r="A143" s="14"/>
      <c r="B143" s="14" t="s">
        <v>63</v>
      </c>
      <c r="C143" s="14"/>
      <c r="D143" s="14">
        <v>602.71</v>
      </c>
    </row>
    <row r="144" spans="1:4" x14ac:dyDescent="0.25">
      <c r="A144" s="14"/>
      <c r="B144" s="14" t="s">
        <v>64</v>
      </c>
      <c r="C144" s="14"/>
      <c r="D144" s="14">
        <v>642.88</v>
      </c>
    </row>
    <row r="145" spans="1:4" x14ac:dyDescent="0.25">
      <c r="A145" s="14"/>
      <c r="B145" s="14" t="s">
        <v>65</v>
      </c>
      <c r="C145" s="14"/>
      <c r="D145" s="14">
        <v>683</v>
      </c>
    </row>
    <row r="146" spans="1:4" x14ac:dyDescent="0.25">
      <c r="A146" s="14"/>
      <c r="B146" s="14" t="s">
        <v>66</v>
      </c>
      <c r="C146" s="14"/>
      <c r="D146" s="14">
        <v>723.25</v>
      </c>
    </row>
    <row r="147" spans="1:4" x14ac:dyDescent="0.25">
      <c r="A147" s="14"/>
      <c r="B147" s="14" t="s">
        <v>67</v>
      </c>
      <c r="C147" s="14"/>
      <c r="D147" s="14">
        <v>763.43</v>
      </c>
    </row>
    <row r="148" spans="1:4" x14ac:dyDescent="0.25">
      <c r="A148" s="14"/>
      <c r="B148" s="14" t="s">
        <v>68</v>
      </c>
      <c r="C148" s="14"/>
      <c r="D148" s="14">
        <v>803.61</v>
      </c>
    </row>
    <row r="149" spans="1:4" x14ac:dyDescent="0.25">
      <c r="A149" s="14"/>
      <c r="B149" s="14" t="s">
        <v>69</v>
      </c>
      <c r="C149" s="14"/>
      <c r="D149" s="14">
        <v>843.8</v>
      </c>
    </row>
    <row r="150" spans="1:4" x14ac:dyDescent="0.25">
      <c r="A150" s="14"/>
      <c r="B150" s="14" t="s">
        <v>70</v>
      </c>
      <c r="C150" s="14"/>
      <c r="D150" s="14">
        <v>883.98</v>
      </c>
    </row>
    <row r="151" spans="1:4" x14ac:dyDescent="0.25">
      <c r="A151" s="14"/>
      <c r="B151" s="14" t="s">
        <v>71</v>
      </c>
      <c r="C151" s="14"/>
      <c r="D151" s="14">
        <v>924.16</v>
      </c>
    </row>
    <row r="152" spans="1:4" x14ac:dyDescent="0.25">
      <c r="A152" s="14"/>
      <c r="B152" s="14" t="s">
        <v>72</v>
      </c>
      <c r="C152" s="14"/>
      <c r="D152" s="14">
        <v>964.34</v>
      </c>
    </row>
    <row r="153" spans="1:4" x14ac:dyDescent="0.25">
      <c r="A153" s="14"/>
      <c r="B153" s="14" t="s">
        <v>73</v>
      </c>
      <c r="C153" s="14"/>
      <c r="D153" s="14">
        <v>1044.69</v>
      </c>
    </row>
    <row r="154" spans="1:4" x14ac:dyDescent="0.25">
      <c r="A154" s="14"/>
      <c r="B154" s="14"/>
      <c r="C154" s="14"/>
      <c r="D154" s="14"/>
    </row>
    <row r="155" spans="1:4" x14ac:dyDescent="0.25">
      <c r="A155" s="14"/>
      <c r="B155" s="14"/>
      <c r="C155" s="14"/>
      <c r="D155" s="14"/>
    </row>
    <row r="156" spans="1:4" x14ac:dyDescent="0.25">
      <c r="A156" s="14"/>
      <c r="B156" s="15" t="s">
        <v>77</v>
      </c>
      <c r="C156" s="15"/>
      <c r="D156" s="14"/>
    </row>
    <row r="157" spans="1:4" x14ac:dyDescent="0.25">
      <c r="A157" s="14"/>
      <c r="B157" s="14"/>
      <c r="C157" s="14"/>
      <c r="D157" s="14"/>
    </row>
    <row r="158" spans="1:4" x14ac:dyDescent="0.25">
      <c r="A158" s="14"/>
      <c r="B158" s="14" t="s">
        <v>78</v>
      </c>
      <c r="C158" s="14"/>
      <c r="D158" s="14">
        <v>530</v>
      </c>
    </row>
    <row r="159" spans="1:4" x14ac:dyDescent="0.25">
      <c r="A159" s="14"/>
      <c r="B159" s="14" t="s">
        <v>79</v>
      </c>
      <c r="C159" s="14"/>
      <c r="D159" s="14">
        <v>636</v>
      </c>
    </row>
    <row r="160" spans="1:4" x14ac:dyDescent="0.25">
      <c r="A160" s="14"/>
      <c r="B160" s="14" t="s">
        <v>80</v>
      </c>
      <c r="C160" s="14"/>
      <c r="D160" s="14">
        <v>689</v>
      </c>
    </row>
    <row r="161" spans="1:4" x14ac:dyDescent="0.25">
      <c r="A161" s="14"/>
      <c r="B161" s="14" t="s">
        <v>81</v>
      </c>
      <c r="C161" s="14"/>
      <c r="D161" s="14">
        <v>742</v>
      </c>
    </row>
    <row r="162" spans="1:4" x14ac:dyDescent="0.25">
      <c r="A162" s="14"/>
      <c r="B162" s="14" t="s">
        <v>82</v>
      </c>
      <c r="C162" s="14"/>
      <c r="D162" s="14">
        <v>795</v>
      </c>
    </row>
    <row r="163" spans="1:4" x14ac:dyDescent="0.25">
      <c r="A163" s="14"/>
      <c r="B163" s="14" t="s">
        <v>83</v>
      </c>
      <c r="C163" s="14"/>
      <c r="D163" s="14">
        <v>848</v>
      </c>
    </row>
    <row r="164" spans="1:4" x14ac:dyDescent="0.25">
      <c r="A164" s="14"/>
      <c r="B164" s="14" t="s">
        <v>84</v>
      </c>
      <c r="C164" s="14"/>
      <c r="D164" s="14">
        <v>901</v>
      </c>
    </row>
    <row r="165" spans="1:4" x14ac:dyDescent="0.25">
      <c r="A165" s="14"/>
      <c r="B165" s="14" t="s">
        <v>85</v>
      </c>
      <c r="C165" s="14"/>
      <c r="D165" s="14">
        <v>954</v>
      </c>
    </row>
    <row r="166" spans="1:4" x14ac:dyDescent="0.25">
      <c r="A166" s="14"/>
      <c r="B166" s="14" t="s">
        <v>86</v>
      </c>
      <c r="C166" s="14"/>
      <c r="D166" s="14">
        <v>1007</v>
      </c>
    </row>
    <row r="167" spans="1:4" x14ac:dyDescent="0.25">
      <c r="A167" s="14"/>
      <c r="B167" s="14" t="s">
        <v>87</v>
      </c>
      <c r="C167" s="14"/>
      <c r="D167" s="14">
        <v>1060</v>
      </c>
    </row>
    <row r="168" spans="1:4" x14ac:dyDescent="0.25">
      <c r="A168" s="14"/>
      <c r="B168" s="14" t="s">
        <v>88</v>
      </c>
      <c r="C168" s="14"/>
      <c r="D168" s="14">
        <v>1113</v>
      </c>
    </row>
    <row r="169" spans="1:4" x14ac:dyDescent="0.25">
      <c r="A169" s="14"/>
      <c r="B169" s="14" t="s">
        <v>89</v>
      </c>
      <c r="C169" s="14"/>
      <c r="D169" s="14">
        <v>1166</v>
      </c>
    </row>
    <row r="170" spans="1:4" x14ac:dyDescent="0.25">
      <c r="A170" s="14"/>
      <c r="B170" s="14" t="s">
        <v>90</v>
      </c>
      <c r="C170" s="14"/>
      <c r="D170" s="14">
        <v>1219</v>
      </c>
    </row>
    <row r="171" spans="1:4" x14ac:dyDescent="0.25">
      <c r="A171" s="14"/>
      <c r="B171" s="14" t="s">
        <v>91</v>
      </c>
      <c r="C171" s="14"/>
      <c r="D171" s="14">
        <v>1272</v>
      </c>
    </row>
    <row r="172" spans="1:4" x14ac:dyDescent="0.25">
      <c r="A172" s="14"/>
      <c r="B172" s="14" t="s">
        <v>92</v>
      </c>
      <c r="C172" s="14"/>
      <c r="D172" s="14">
        <v>1378</v>
      </c>
    </row>
    <row r="173" spans="1:4" x14ac:dyDescent="0.25">
      <c r="A173" s="14"/>
      <c r="B173" s="14"/>
      <c r="C173" s="14"/>
      <c r="D173" s="14"/>
    </row>
    <row r="174" spans="1:4" x14ac:dyDescent="0.25">
      <c r="A174" s="14"/>
      <c r="B174" s="14" t="s">
        <v>93</v>
      </c>
      <c r="C174" s="14"/>
      <c r="D174" s="14">
        <v>20</v>
      </c>
    </row>
    <row r="175" spans="1:4" x14ac:dyDescent="0.25">
      <c r="A175" s="14"/>
      <c r="B175" s="14" t="s">
        <v>94</v>
      </c>
      <c r="C175" s="14"/>
      <c r="D175" s="14">
        <v>1500</v>
      </c>
    </row>
    <row r="176" spans="1:4" x14ac:dyDescent="0.25">
      <c r="A176" s="14"/>
      <c r="B176" s="14" t="s">
        <v>95</v>
      </c>
      <c r="C176" s="14"/>
      <c r="D176" s="14">
        <v>680</v>
      </c>
    </row>
    <row r="177" spans="1:4" x14ac:dyDescent="0.25">
      <c r="A177" s="14"/>
      <c r="B177" s="14" t="s">
        <v>96</v>
      </c>
      <c r="C177" s="14"/>
      <c r="D177" s="14">
        <v>2250</v>
      </c>
    </row>
    <row r="178" spans="1:4" x14ac:dyDescent="0.25">
      <c r="A178" s="14"/>
      <c r="B178" s="14" t="s">
        <v>97</v>
      </c>
      <c r="C178" s="14"/>
      <c r="D178" s="14">
        <v>580</v>
      </c>
    </row>
    <row r="179" spans="1:4" x14ac:dyDescent="0.25">
      <c r="A179" s="14"/>
      <c r="B179" s="14" t="s">
        <v>98</v>
      </c>
      <c r="C179" s="14"/>
      <c r="D179" s="14">
        <v>565</v>
      </c>
    </row>
    <row r="180" spans="1:4" x14ac:dyDescent="0.25">
      <c r="A180" s="14"/>
      <c r="B180" s="14" t="s">
        <v>99</v>
      </c>
      <c r="C180" s="14"/>
      <c r="D180" s="14">
        <v>24</v>
      </c>
    </row>
    <row r="181" spans="1:4" x14ac:dyDescent="0.25">
      <c r="A181" s="14"/>
      <c r="B181" s="14" t="s">
        <v>100</v>
      </c>
      <c r="C181" s="14"/>
      <c r="D181" s="14">
        <v>2100</v>
      </c>
    </row>
    <row r="182" spans="1:4" x14ac:dyDescent="0.25">
      <c r="A182" s="14"/>
      <c r="B182" s="14"/>
      <c r="C182" s="14"/>
      <c r="D182" s="14"/>
    </row>
    <row r="183" spans="1:4" x14ac:dyDescent="0.25">
      <c r="A183" s="14"/>
      <c r="B183" s="15" t="s">
        <v>101</v>
      </c>
      <c r="C183" s="15"/>
      <c r="D183" s="14"/>
    </row>
    <row r="184" spans="1:4" x14ac:dyDescent="0.25">
      <c r="A184" s="14"/>
      <c r="B184" s="14"/>
      <c r="C184" s="14"/>
      <c r="D184" s="14"/>
    </row>
    <row r="185" spans="1:4" x14ac:dyDescent="0.25">
      <c r="A185" s="14"/>
      <c r="B185" s="14" t="s">
        <v>102</v>
      </c>
      <c r="C185" s="14"/>
      <c r="D185" s="14">
        <v>508</v>
      </c>
    </row>
    <row r="186" spans="1:4" x14ac:dyDescent="0.25">
      <c r="A186" s="14"/>
      <c r="B186" s="14" t="s">
        <v>108</v>
      </c>
      <c r="C186" s="14"/>
      <c r="D186" s="14">
        <v>270</v>
      </c>
    </row>
    <row r="187" spans="1:4" x14ac:dyDescent="0.25">
      <c r="A187" s="14"/>
      <c r="B187" s="14" t="s">
        <v>103</v>
      </c>
      <c r="C187" s="14"/>
      <c r="D187" s="14">
        <v>366</v>
      </c>
    </row>
    <row r="188" spans="1:4" x14ac:dyDescent="0.25">
      <c r="A188" s="14"/>
      <c r="B188" s="14" t="s">
        <v>109</v>
      </c>
      <c r="C188" s="14"/>
      <c r="D188" s="14">
        <v>395</v>
      </c>
    </row>
    <row r="189" spans="1:4" x14ac:dyDescent="0.25">
      <c r="A189" s="14"/>
      <c r="B189" s="14" t="s">
        <v>104</v>
      </c>
      <c r="C189" s="14"/>
      <c r="D189" s="14">
        <v>336</v>
      </c>
    </row>
    <row r="190" spans="1:4" x14ac:dyDescent="0.25">
      <c r="A190" s="14"/>
      <c r="B190" s="14" t="s">
        <v>105</v>
      </c>
      <c r="C190" s="14"/>
      <c r="D190" s="14">
        <v>508</v>
      </c>
    </row>
    <row r="191" spans="1:4" x14ac:dyDescent="0.25">
      <c r="A191" s="14"/>
      <c r="B191" s="14" t="s">
        <v>106</v>
      </c>
      <c r="C191" s="14"/>
      <c r="D191" s="14">
        <v>525</v>
      </c>
    </row>
    <row r="192" spans="1:4" x14ac:dyDescent="0.25">
      <c r="A192" s="14"/>
      <c r="B192" s="14" t="s">
        <v>107</v>
      </c>
      <c r="C192" s="14"/>
      <c r="D192" s="14">
        <v>568</v>
      </c>
    </row>
    <row r="193" spans="1:4" x14ac:dyDescent="0.25">
      <c r="A193" s="14"/>
      <c r="B193" s="14" t="s">
        <v>111</v>
      </c>
      <c r="C193" s="14"/>
      <c r="D193" s="14">
        <v>668</v>
      </c>
    </row>
    <row r="194" spans="1:4" x14ac:dyDescent="0.25">
      <c r="A194" s="14"/>
      <c r="B194" s="14" t="s">
        <v>110</v>
      </c>
      <c r="C194" s="14"/>
      <c r="D194" s="14">
        <v>678</v>
      </c>
    </row>
    <row r="195" spans="1:4" x14ac:dyDescent="0.25">
      <c r="A195" s="14"/>
      <c r="B195" s="14" t="s">
        <v>112</v>
      </c>
      <c r="C195" s="14"/>
      <c r="D195" s="14">
        <v>934</v>
      </c>
    </row>
    <row r="196" spans="1:4" x14ac:dyDescent="0.25">
      <c r="A196" s="14"/>
      <c r="B196" s="14" t="s">
        <v>113</v>
      </c>
      <c r="C196" s="14"/>
      <c r="D196" s="14">
        <v>625</v>
      </c>
    </row>
    <row r="197" spans="1:4" x14ac:dyDescent="0.25">
      <c r="A197" s="14"/>
      <c r="B197" s="14" t="s">
        <v>114</v>
      </c>
      <c r="C197" s="14"/>
      <c r="D197" s="14">
        <v>587</v>
      </c>
    </row>
    <row r="198" spans="1:4" x14ac:dyDescent="0.25">
      <c r="A198" s="14"/>
      <c r="B198" s="14" t="s">
        <v>115</v>
      </c>
      <c r="C198" s="14"/>
      <c r="D198" s="14">
        <v>745</v>
      </c>
    </row>
    <row r="199" spans="1:4" x14ac:dyDescent="0.25">
      <c r="A199" s="14"/>
      <c r="B199" s="14" t="s">
        <v>116</v>
      </c>
      <c r="C199" s="14"/>
      <c r="D199" s="14">
        <v>668</v>
      </c>
    </row>
    <row r="200" spans="1:4" x14ac:dyDescent="0.25">
      <c r="A200" s="14"/>
      <c r="B200" s="14" t="s">
        <v>117</v>
      </c>
      <c r="C200" s="14"/>
      <c r="D200" s="14">
        <v>1020</v>
      </c>
    </row>
    <row r="201" spans="1:4" x14ac:dyDescent="0.25">
      <c r="A201" s="14"/>
      <c r="B201" s="14" t="s">
        <v>118</v>
      </c>
      <c r="C201" s="14"/>
      <c r="D201" s="14">
        <v>967</v>
      </c>
    </row>
    <row r="202" spans="1:4" x14ac:dyDescent="0.25">
      <c r="A202" s="14"/>
      <c r="B202" s="14" t="s">
        <v>119</v>
      </c>
      <c r="C202" s="14"/>
      <c r="D202" s="14">
        <v>1130</v>
      </c>
    </row>
    <row r="203" spans="1:4" x14ac:dyDescent="0.25">
      <c r="A203" s="14"/>
      <c r="B203" s="14" t="s">
        <v>120</v>
      </c>
      <c r="C203" s="14"/>
      <c r="D203" s="14">
        <v>650</v>
      </c>
    </row>
    <row r="204" spans="1:4" x14ac:dyDescent="0.25">
      <c r="A204" s="14"/>
      <c r="B204" s="14" t="s">
        <v>121</v>
      </c>
      <c r="C204" s="14"/>
      <c r="D204" s="14">
        <v>810</v>
      </c>
    </row>
    <row r="205" spans="1:4" x14ac:dyDescent="0.25">
      <c r="A205" s="14"/>
      <c r="B205" s="14" t="s">
        <v>122</v>
      </c>
      <c r="C205" s="14"/>
      <c r="D205" s="14">
        <v>972</v>
      </c>
    </row>
    <row r="206" spans="1:4" x14ac:dyDescent="0.25">
      <c r="A206" s="14"/>
      <c r="B206" s="14" t="s">
        <v>123</v>
      </c>
      <c r="C206" s="14"/>
      <c r="D206" s="14">
        <v>920</v>
      </c>
    </row>
    <row r="207" spans="1:4" x14ac:dyDescent="0.25">
      <c r="A207" s="14"/>
      <c r="B207" s="14" t="s">
        <v>124</v>
      </c>
      <c r="C207" s="14"/>
      <c r="D207" s="14">
        <v>160</v>
      </c>
    </row>
    <row r="208" spans="1:4" x14ac:dyDescent="0.25">
      <c r="A208" s="14"/>
      <c r="B208" s="14" t="s">
        <v>125</v>
      </c>
      <c r="C208" s="14"/>
      <c r="D208" s="14">
        <v>230</v>
      </c>
    </row>
    <row r="209" spans="1:4" x14ac:dyDescent="0.25">
      <c r="A209" s="14"/>
      <c r="B209" s="14" t="s">
        <v>126</v>
      </c>
      <c r="C209" s="14"/>
      <c r="D209" s="14">
        <v>1400</v>
      </c>
    </row>
    <row r="210" spans="1:4" x14ac:dyDescent="0.25">
      <c r="A210" s="14"/>
      <c r="B210" s="14"/>
      <c r="C210" s="14"/>
      <c r="D210" s="14"/>
    </row>
    <row r="211" spans="1:4" x14ac:dyDescent="0.25">
      <c r="A211" s="14"/>
      <c r="B211" s="15" t="s">
        <v>127</v>
      </c>
      <c r="C211" s="15"/>
      <c r="D211" s="14"/>
    </row>
    <row r="212" spans="1:4" x14ac:dyDescent="0.25">
      <c r="A212" s="14"/>
      <c r="B212" s="14"/>
      <c r="C212" s="14"/>
      <c r="D212" s="14"/>
    </row>
    <row r="213" spans="1:4" x14ac:dyDescent="0.25">
      <c r="A213" s="14"/>
      <c r="B213" s="14" t="s">
        <v>128</v>
      </c>
      <c r="C213" s="14"/>
      <c r="D213" s="14">
        <v>58</v>
      </c>
    </row>
    <row r="214" spans="1:4" x14ac:dyDescent="0.25">
      <c r="A214" s="14"/>
      <c r="B214" s="14" t="s">
        <v>129</v>
      </c>
      <c r="C214" s="14"/>
      <c r="D214" s="14">
        <v>130</v>
      </c>
    </row>
    <row r="215" spans="1:4" x14ac:dyDescent="0.25">
      <c r="A215" s="14"/>
      <c r="B215" s="14" t="s">
        <v>130</v>
      </c>
      <c r="C215" s="14"/>
      <c r="D215" s="14">
        <v>305</v>
      </c>
    </row>
    <row r="216" spans="1:4" x14ac:dyDescent="0.25">
      <c r="A216" s="14"/>
      <c r="B216" s="14" t="s">
        <v>131</v>
      </c>
      <c r="C216" s="14"/>
      <c r="D216" s="14">
        <v>115</v>
      </c>
    </row>
    <row r="217" spans="1:4" x14ac:dyDescent="0.25">
      <c r="A217" s="14"/>
      <c r="B217" s="14" t="s">
        <v>132</v>
      </c>
      <c r="C217" s="14"/>
      <c r="D217" s="14">
        <v>644</v>
      </c>
    </row>
    <row r="218" spans="1:4" x14ac:dyDescent="0.25">
      <c r="A218" s="14"/>
      <c r="B218" s="14" t="s">
        <v>133</v>
      </c>
      <c r="C218" s="14"/>
      <c r="D218" s="14">
        <v>1057</v>
      </c>
    </row>
    <row r="219" spans="1:4" x14ac:dyDescent="0.25">
      <c r="A219" s="14"/>
      <c r="B219" s="14" t="s">
        <v>134</v>
      </c>
      <c r="C219" s="14"/>
      <c r="D219" s="14">
        <v>194</v>
      </c>
    </row>
    <row r="220" spans="1:4" x14ac:dyDescent="0.25">
      <c r="A220" s="14"/>
      <c r="B220" s="14" t="s">
        <v>135</v>
      </c>
      <c r="C220" s="14"/>
      <c r="D220" s="14">
        <v>154</v>
      </c>
    </row>
    <row r="221" spans="1:4" x14ac:dyDescent="0.25">
      <c r="A221" s="14"/>
      <c r="B221" s="14" t="s">
        <v>136</v>
      </c>
      <c r="C221" s="14"/>
      <c r="D221" s="14">
        <v>116</v>
      </c>
    </row>
    <row r="222" spans="1:4" x14ac:dyDescent="0.25">
      <c r="A222" s="14"/>
      <c r="B222" s="14" t="s">
        <v>137</v>
      </c>
      <c r="C222" s="14"/>
      <c r="D222" s="14">
        <v>195</v>
      </c>
    </row>
    <row r="223" spans="1:4" x14ac:dyDescent="0.25">
      <c r="A223" s="14"/>
      <c r="B223" s="14" t="s">
        <v>138</v>
      </c>
      <c r="C223" s="14"/>
      <c r="D223" s="14">
        <v>300</v>
      </c>
    </row>
    <row r="224" spans="1:4" x14ac:dyDescent="0.25">
      <c r="A224" s="14"/>
      <c r="B224" s="14" t="s">
        <v>139</v>
      </c>
      <c r="C224" s="14"/>
      <c r="D224" s="14">
        <v>822</v>
      </c>
    </row>
    <row r="225" spans="1:4" x14ac:dyDescent="0.25">
      <c r="A225" s="14"/>
      <c r="B225" s="14" t="s">
        <v>140</v>
      </c>
      <c r="C225" s="14"/>
      <c r="D225" s="14">
        <v>190</v>
      </c>
    </row>
    <row r="226" spans="1:4" x14ac:dyDescent="0.25">
      <c r="A226" s="14"/>
      <c r="B226" s="14" t="s">
        <v>141</v>
      </c>
      <c r="C226" s="14"/>
      <c r="D226" s="14">
        <v>400</v>
      </c>
    </row>
    <row r="227" spans="1:4" x14ac:dyDescent="0.25">
      <c r="A227" s="14"/>
      <c r="B227" s="14" t="s">
        <v>142</v>
      </c>
      <c r="C227" s="14"/>
      <c r="D227" s="14">
        <v>660</v>
      </c>
    </row>
    <row r="228" spans="1:4" x14ac:dyDescent="0.25">
      <c r="A228" s="14"/>
      <c r="B228" s="14" t="s">
        <v>143</v>
      </c>
      <c r="C228" s="14"/>
      <c r="D228" s="14">
        <v>1410</v>
      </c>
    </row>
    <row r="229" spans="1:4" x14ac:dyDescent="0.25">
      <c r="A229" s="14"/>
      <c r="B229" s="14"/>
      <c r="C229" s="14"/>
      <c r="D229" s="14"/>
    </row>
    <row r="230" spans="1:4" x14ac:dyDescent="0.25">
      <c r="A230" s="14"/>
      <c r="B230" s="15" t="s">
        <v>144</v>
      </c>
      <c r="C230" s="15"/>
      <c r="D230" s="14"/>
    </row>
    <row r="231" spans="1:4" x14ac:dyDescent="0.25">
      <c r="A231" s="14"/>
      <c r="B231" s="14"/>
      <c r="C231" s="14"/>
      <c r="D231" s="14"/>
    </row>
    <row r="232" spans="1:4" x14ac:dyDescent="0.25">
      <c r="A232" s="14"/>
      <c r="B232" s="14" t="s">
        <v>145</v>
      </c>
      <c r="C232" s="14">
        <v>3.5419999999999998</v>
      </c>
      <c r="D232" s="16">
        <f>C232*1.15</f>
        <v>4.0732999999999997</v>
      </c>
    </row>
    <row r="233" spans="1:4" x14ac:dyDescent="0.25">
      <c r="A233" s="14"/>
      <c r="B233" s="14" t="s">
        <v>146</v>
      </c>
      <c r="C233" s="14">
        <v>4.84</v>
      </c>
      <c r="D233" s="16">
        <f t="shared" ref="D233:D296" si="0">C233*1.15</f>
        <v>5.5659999999999998</v>
      </c>
    </row>
    <row r="234" spans="1:4" x14ac:dyDescent="0.25">
      <c r="A234" s="14"/>
      <c r="B234" s="14" t="s">
        <v>147</v>
      </c>
      <c r="C234" s="14">
        <v>5.819</v>
      </c>
      <c r="D234" s="16">
        <f t="shared" si="0"/>
        <v>6.6918499999999996</v>
      </c>
    </row>
    <row r="235" spans="1:4" x14ac:dyDescent="0.25">
      <c r="A235" s="14"/>
      <c r="B235" s="14" t="s">
        <v>148</v>
      </c>
      <c r="C235" s="14">
        <v>11.178000000000001</v>
      </c>
      <c r="D235" s="16">
        <f t="shared" si="0"/>
        <v>12.854699999999999</v>
      </c>
    </row>
    <row r="236" spans="1:4" x14ac:dyDescent="0.25">
      <c r="A236" s="14"/>
      <c r="B236" s="14" t="s">
        <v>149</v>
      </c>
      <c r="C236" s="14">
        <v>10.5</v>
      </c>
      <c r="D236" s="16">
        <f t="shared" si="0"/>
        <v>12.074999999999999</v>
      </c>
    </row>
    <row r="237" spans="1:4" x14ac:dyDescent="0.25">
      <c r="A237" s="14"/>
      <c r="B237" s="14" t="s">
        <v>150</v>
      </c>
      <c r="C237" s="14">
        <v>18.204999999999998</v>
      </c>
      <c r="D237" s="16">
        <f t="shared" si="0"/>
        <v>20.935749999999995</v>
      </c>
    </row>
    <row r="238" spans="1:4" x14ac:dyDescent="0.25">
      <c r="A238" s="14"/>
      <c r="B238" s="14" t="s">
        <v>151</v>
      </c>
      <c r="C238" s="14">
        <v>19.93</v>
      </c>
      <c r="D238" s="16">
        <f t="shared" si="0"/>
        <v>22.919499999999999</v>
      </c>
    </row>
    <row r="239" spans="1:4" x14ac:dyDescent="0.25">
      <c r="A239" s="14"/>
      <c r="B239" s="14" t="s">
        <v>152</v>
      </c>
      <c r="C239" s="14">
        <v>20.7805</v>
      </c>
      <c r="D239" s="16">
        <f t="shared" si="0"/>
        <v>23.897575</v>
      </c>
    </row>
    <row r="240" spans="1:4" x14ac:dyDescent="0.25">
      <c r="A240" s="14"/>
      <c r="B240" s="14" t="s">
        <v>153</v>
      </c>
      <c r="C240" s="14">
        <v>22.815999999999999</v>
      </c>
      <c r="D240" s="16">
        <f t="shared" si="0"/>
        <v>26.238399999999995</v>
      </c>
    </row>
    <row r="241" spans="1:4" x14ac:dyDescent="0.25">
      <c r="A241" s="14"/>
      <c r="B241" s="14" t="s">
        <v>154</v>
      </c>
      <c r="C241" s="14">
        <v>32.479999999999997</v>
      </c>
      <c r="D241" s="16">
        <f t="shared" si="0"/>
        <v>37.351999999999997</v>
      </c>
    </row>
    <row r="242" spans="1:4" x14ac:dyDescent="0.25">
      <c r="A242" s="14"/>
      <c r="B242" s="14" t="s">
        <v>155</v>
      </c>
      <c r="C242" s="14">
        <v>13.97</v>
      </c>
      <c r="D242" s="16">
        <f t="shared" si="0"/>
        <v>16.0655</v>
      </c>
    </row>
    <row r="243" spans="1:4" x14ac:dyDescent="0.25">
      <c r="A243" s="14"/>
      <c r="B243" s="14" t="s">
        <v>156</v>
      </c>
      <c r="C243" s="14">
        <v>9.7799999999999994</v>
      </c>
      <c r="D243" s="16">
        <f t="shared" si="0"/>
        <v>11.246999999999998</v>
      </c>
    </row>
    <row r="244" spans="1:4" x14ac:dyDescent="0.25">
      <c r="A244" s="14"/>
      <c r="B244" s="14" t="s">
        <v>161</v>
      </c>
      <c r="C244" s="14">
        <v>26.3</v>
      </c>
      <c r="D244" s="16">
        <f t="shared" si="0"/>
        <v>30.244999999999997</v>
      </c>
    </row>
    <row r="245" spans="1:4" x14ac:dyDescent="0.25">
      <c r="A245" s="14"/>
      <c r="B245" s="14" t="s">
        <v>160</v>
      </c>
      <c r="C245" s="14">
        <v>33.488</v>
      </c>
      <c r="D245" s="16">
        <f t="shared" si="0"/>
        <v>38.511199999999995</v>
      </c>
    </row>
    <row r="246" spans="1:4" x14ac:dyDescent="0.25">
      <c r="A246" s="14"/>
      <c r="B246" s="14" t="s">
        <v>157</v>
      </c>
      <c r="C246" s="14">
        <v>38.090000000000003</v>
      </c>
      <c r="D246" s="16">
        <f t="shared" si="0"/>
        <v>43.8035</v>
      </c>
    </row>
    <row r="247" spans="1:4" x14ac:dyDescent="0.25">
      <c r="A247" s="14"/>
      <c r="B247" s="14" t="s">
        <v>158</v>
      </c>
      <c r="C247" s="14">
        <v>30.83</v>
      </c>
      <c r="D247" s="16">
        <f t="shared" si="0"/>
        <v>35.454499999999996</v>
      </c>
    </row>
    <row r="248" spans="1:4" x14ac:dyDescent="0.25">
      <c r="A248" s="14"/>
      <c r="B248" s="14" t="s">
        <v>159</v>
      </c>
      <c r="C248" s="14">
        <v>97.78</v>
      </c>
      <c r="D248" s="16">
        <f t="shared" si="0"/>
        <v>112.44699999999999</v>
      </c>
    </row>
    <row r="249" spans="1:4" x14ac:dyDescent="0.25">
      <c r="A249" s="14"/>
      <c r="B249" s="14" t="s">
        <v>162</v>
      </c>
      <c r="C249" s="14">
        <v>83.605000000000004</v>
      </c>
      <c r="D249" s="16">
        <f t="shared" si="0"/>
        <v>96.145749999999992</v>
      </c>
    </row>
    <row r="250" spans="1:4" x14ac:dyDescent="0.25">
      <c r="A250" s="14"/>
      <c r="B250" s="14" t="s">
        <v>163</v>
      </c>
      <c r="C250" s="14">
        <v>60.06</v>
      </c>
      <c r="D250" s="16">
        <f t="shared" si="0"/>
        <v>69.069000000000003</v>
      </c>
    </row>
    <row r="251" spans="1:4" x14ac:dyDescent="0.25">
      <c r="A251" s="14"/>
      <c r="B251" s="14" t="s">
        <v>687</v>
      </c>
      <c r="C251" s="14">
        <v>42.411999999999999</v>
      </c>
      <c r="D251" s="16">
        <f t="shared" si="0"/>
        <v>48.773799999999994</v>
      </c>
    </row>
    <row r="252" spans="1:4" x14ac:dyDescent="0.25">
      <c r="A252" s="14"/>
      <c r="B252" s="14" t="s">
        <v>689</v>
      </c>
      <c r="C252" s="14">
        <v>142</v>
      </c>
      <c r="D252" s="16">
        <f t="shared" si="0"/>
        <v>163.29999999999998</v>
      </c>
    </row>
    <row r="253" spans="1:4" x14ac:dyDescent="0.25">
      <c r="A253" s="14"/>
      <c r="B253" s="14" t="s">
        <v>688</v>
      </c>
      <c r="C253" s="14">
        <v>145.70500000000001</v>
      </c>
      <c r="D253" s="16">
        <f t="shared" si="0"/>
        <v>167.56075000000001</v>
      </c>
    </row>
    <row r="254" spans="1:4" x14ac:dyDescent="0.25">
      <c r="A254" s="14"/>
      <c r="B254" s="14" t="s">
        <v>164</v>
      </c>
      <c r="C254" s="14"/>
      <c r="D254" s="16">
        <f t="shared" si="0"/>
        <v>0</v>
      </c>
    </row>
    <row r="255" spans="1:4" x14ac:dyDescent="0.25">
      <c r="A255" s="14"/>
      <c r="B255" s="14" t="s">
        <v>165</v>
      </c>
      <c r="C255" s="14"/>
      <c r="D255" s="16">
        <f t="shared" si="0"/>
        <v>0</v>
      </c>
    </row>
    <row r="256" spans="1:4" x14ac:dyDescent="0.25">
      <c r="A256" s="14"/>
      <c r="B256" s="14" t="s">
        <v>166</v>
      </c>
      <c r="C256" s="14"/>
      <c r="D256" s="16">
        <f t="shared" si="0"/>
        <v>0</v>
      </c>
    </row>
    <row r="257" spans="1:4" x14ac:dyDescent="0.25">
      <c r="A257" s="14"/>
      <c r="B257" s="14" t="s">
        <v>167</v>
      </c>
      <c r="C257" s="14"/>
      <c r="D257" s="16">
        <f t="shared" si="0"/>
        <v>0</v>
      </c>
    </row>
    <row r="258" spans="1:4" x14ac:dyDescent="0.25">
      <c r="A258" s="14"/>
      <c r="B258" s="14" t="s">
        <v>168</v>
      </c>
      <c r="C258" s="14"/>
      <c r="D258" s="16">
        <f t="shared" si="0"/>
        <v>0</v>
      </c>
    </row>
    <row r="259" spans="1:4" x14ac:dyDescent="0.25">
      <c r="A259" s="14"/>
      <c r="B259" s="14" t="s">
        <v>169</v>
      </c>
      <c r="C259" s="14"/>
      <c r="D259" s="16">
        <f t="shared" si="0"/>
        <v>0</v>
      </c>
    </row>
    <row r="260" spans="1:4" x14ac:dyDescent="0.25">
      <c r="A260" s="14"/>
      <c r="B260" s="14"/>
      <c r="C260" s="14"/>
      <c r="D260" s="16">
        <f t="shared" si="0"/>
        <v>0</v>
      </c>
    </row>
    <row r="261" spans="1:4" x14ac:dyDescent="0.25">
      <c r="A261" s="14"/>
      <c r="B261" s="14" t="s">
        <v>181</v>
      </c>
      <c r="C261" s="14">
        <v>10.56</v>
      </c>
      <c r="D261" s="16">
        <f t="shared" si="0"/>
        <v>12.144</v>
      </c>
    </row>
    <row r="262" spans="1:4" x14ac:dyDescent="0.25">
      <c r="A262" s="14"/>
      <c r="B262" s="14" t="s">
        <v>182</v>
      </c>
      <c r="C262" s="14">
        <v>5.98</v>
      </c>
      <c r="D262" s="16">
        <f t="shared" si="0"/>
        <v>6.8769999999999998</v>
      </c>
    </row>
    <row r="263" spans="1:4" x14ac:dyDescent="0.25">
      <c r="A263" s="14"/>
      <c r="B263" s="14"/>
      <c r="C263" s="14"/>
      <c r="D263" s="16">
        <f t="shared" si="0"/>
        <v>0</v>
      </c>
    </row>
    <row r="264" spans="1:4" x14ac:dyDescent="0.25">
      <c r="A264" s="14"/>
      <c r="B264" s="14"/>
      <c r="C264" s="14"/>
      <c r="D264" s="16">
        <f t="shared" si="0"/>
        <v>0</v>
      </c>
    </row>
    <row r="265" spans="1:4" x14ac:dyDescent="0.25">
      <c r="A265" s="14"/>
      <c r="B265" s="14"/>
      <c r="C265" s="14"/>
      <c r="D265" s="16">
        <f t="shared" si="0"/>
        <v>0</v>
      </c>
    </row>
    <row r="266" spans="1:4" x14ac:dyDescent="0.25">
      <c r="A266" s="14"/>
      <c r="B266" s="14" t="s">
        <v>170</v>
      </c>
      <c r="C266" s="14">
        <v>4.3239999999999998</v>
      </c>
      <c r="D266" s="16">
        <f t="shared" si="0"/>
        <v>4.972599999999999</v>
      </c>
    </row>
    <row r="267" spans="1:4" x14ac:dyDescent="0.25">
      <c r="A267" s="14"/>
      <c r="B267" s="14" t="s">
        <v>171</v>
      </c>
      <c r="C267" s="14">
        <v>6.72</v>
      </c>
      <c r="D267" s="16">
        <f t="shared" si="0"/>
        <v>7.7279999999999989</v>
      </c>
    </row>
    <row r="268" spans="1:4" x14ac:dyDescent="0.25">
      <c r="A268" s="14"/>
      <c r="B268" s="14" t="s">
        <v>172</v>
      </c>
      <c r="C268" s="14">
        <v>7.9349999999999996</v>
      </c>
      <c r="D268" s="16">
        <f t="shared" si="0"/>
        <v>9.1252499999999994</v>
      </c>
    </row>
    <row r="269" spans="1:4" x14ac:dyDescent="0.25">
      <c r="A269" s="14"/>
      <c r="B269" s="14" t="s">
        <v>173</v>
      </c>
      <c r="C269" s="14">
        <v>10.72</v>
      </c>
      <c r="D269" s="16">
        <f t="shared" si="0"/>
        <v>12.327999999999999</v>
      </c>
    </row>
    <row r="270" spans="1:4" x14ac:dyDescent="0.25">
      <c r="A270" s="14"/>
      <c r="B270" s="14" t="s">
        <v>174</v>
      </c>
      <c r="C270" s="14">
        <v>12.109</v>
      </c>
      <c r="D270" s="16">
        <f t="shared" si="0"/>
        <v>13.925349999999998</v>
      </c>
    </row>
    <row r="271" spans="1:4" x14ac:dyDescent="0.25">
      <c r="A271" s="14"/>
      <c r="B271" s="14" t="s">
        <v>177</v>
      </c>
      <c r="C271" s="14">
        <v>9.66</v>
      </c>
      <c r="D271" s="16">
        <f t="shared" si="0"/>
        <v>11.109</v>
      </c>
    </row>
    <row r="272" spans="1:4" x14ac:dyDescent="0.25">
      <c r="A272" s="14"/>
      <c r="B272" s="14" t="s">
        <v>175</v>
      </c>
      <c r="C272" s="14">
        <v>18.73</v>
      </c>
      <c r="D272" s="16">
        <f t="shared" si="0"/>
        <v>21.5395</v>
      </c>
    </row>
    <row r="273" spans="1:4" x14ac:dyDescent="0.25">
      <c r="A273" s="14"/>
      <c r="B273" s="14" t="s">
        <v>176</v>
      </c>
      <c r="C273" s="14">
        <v>30.59</v>
      </c>
      <c r="D273" s="16">
        <f t="shared" si="0"/>
        <v>35.1785</v>
      </c>
    </row>
    <row r="274" spans="1:4" x14ac:dyDescent="0.25">
      <c r="A274" s="14"/>
      <c r="B274" s="14" t="s">
        <v>178</v>
      </c>
      <c r="C274" s="14">
        <v>70.84</v>
      </c>
      <c r="D274" s="16">
        <f t="shared" si="0"/>
        <v>81.465999999999994</v>
      </c>
    </row>
    <row r="275" spans="1:4" x14ac:dyDescent="0.25">
      <c r="A275" s="14"/>
      <c r="B275" s="14" t="s">
        <v>179</v>
      </c>
      <c r="C275" s="14">
        <v>45.08</v>
      </c>
      <c r="D275" s="16">
        <f t="shared" si="0"/>
        <v>51.841999999999992</v>
      </c>
    </row>
    <row r="276" spans="1:4" x14ac:dyDescent="0.25">
      <c r="A276" s="14"/>
      <c r="B276" s="14" t="s">
        <v>180</v>
      </c>
      <c r="C276" s="14"/>
      <c r="D276" s="16">
        <f t="shared" si="0"/>
        <v>0</v>
      </c>
    </row>
    <row r="277" spans="1:4" x14ac:dyDescent="0.25">
      <c r="A277" s="14"/>
      <c r="B277" s="14"/>
      <c r="C277" s="14"/>
      <c r="D277" s="16">
        <f t="shared" si="0"/>
        <v>0</v>
      </c>
    </row>
    <row r="278" spans="1:4" x14ac:dyDescent="0.25">
      <c r="A278" s="14"/>
      <c r="B278" s="14" t="s">
        <v>183</v>
      </c>
      <c r="C278" s="14">
        <v>4.95</v>
      </c>
      <c r="D278" s="16">
        <f t="shared" si="0"/>
        <v>5.6924999999999999</v>
      </c>
    </row>
    <row r="279" spans="1:4" x14ac:dyDescent="0.25">
      <c r="A279" s="14"/>
      <c r="B279" s="14" t="s">
        <v>184</v>
      </c>
      <c r="C279" s="14">
        <v>8.36</v>
      </c>
      <c r="D279" s="16">
        <f t="shared" si="0"/>
        <v>9.613999999999999</v>
      </c>
    </row>
    <row r="280" spans="1:4" x14ac:dyDescent="0.25">
      <c r="A280" s="14"/>
      <c r="B280" s="14" t="s">
        <v>185</v>
      </c>
      <c r="C280" s="14">
        <v>13.765000000000001</v>
      </c>
      <c r="D280" s="16">
        <f t="shared" si="0"/>
        <v>15.829749999999999</v>
      </c>
    </row>
    <row r="281" spans="1:4" x14ac:dyDescent="0.25">
      <c r="A281" s="14"/>
      <c r="B281" s="14" t="s">
        <v>196</v>
      </c>
      <c r="C281" s="14">
        <v>20.815000000000001</v>
      </c>
      <c r="D281" s="16">
        <f t="shared" si="0"/>
        <v>23.937249999999999</v>
      </c>
    </row>
    <row r="282" spans="1:4" x14ac:dyDescent="0.25">
      <c r="A282" s="14"/>
      <c r="B282" s="14" t="s">
        <v>186</v>
      </c>
      <c r="C282" s="14">
        <v>23.667000000000002</v>
      </c>
      <c r="D282" s="16">
        <f t="shared" si="0"/>
        <v>27.21705</v>
      </c>
    </row>
    <row r="283" spans="1:4" x14ac:dyDescent="0.25">
      <c r="A283" s="14"/>
      <c r="B283" s="14" t="s">
        <v>187</v>
      </c>
      <c r="C283" s="14">
        <v>24.311</v>
      </c>
      <c r="D283" s="16">
        <f t="shared" si="0"/>
        <v>27.957649999999997</v>
      </c>
    </row>
    <row r="284" spans="1:4" x14ac:dyDescent="0.25">
      <c r="A284" s="14"/>
      <c r="B284" s="14" t="s">
        <v>188</v>
      </c>
      <c r="C284" s="14">
        <v>39.04</v>
      </c>
      <c r="D284" s="16">
        <f t="shared" si="0"/>
        <v>44.895999999999994</v>
      </c>
    </row>
    <row r="285" spans="1:4" x14ac:dyDescent="0.25">
      <c r="A285" s="14"/>
      <c r="B285" s="14" t="s">
        <v>189</v>
      </c>
      <c r="C285" s="14">
        <v>61.89</v>
      </c>
      <c r="D285" s="16">
        <f t="shared" si="0"/>
        <v>71.17349999999999</v>
      </c>
    </row>
    <row r="286" spans="1:4" x14ac:dyDescent="0.25">
      <c r="A286" s="14"/>
      <c r="B286" s="14" t="s">
        <v>190</v>
      </c>
      <c r="C286" s="14">
        <v>130.44</v>
      </c>
      <c r="D286" s="16">
        <f t="shared" si="0"/>
        <v>150.00599999999997</v>
      </c>
    </row>
    <row r="287" spans="1:4" x14ac:dyDescent="0.25">
      <c r="A287" s="14"/>
      <c r="B287" s="14" t="s">
        <v>191</v>
      </c>
      <c r="C287" s="14">
        <v>80.08</v>
      </c>
      <c r="D287" s="16">
        <f t="shared" si="0"/>
        <v>92.091999999999985</v>
      </c>
    </row>
    <row r="288" spans="1:4" x14ac:dyDescent="0.25">
      <c r="A288" s="14"/>
      <c r="B288" s="14" t="s">
        <v>192</v>
      </c>
      <c r="C288" s="14">
        <v>245.04</v>
      </c>
      <c r="D288" s="16">
        <f t="shared" si="0"/>
        <v>281.79599999999999</v>
      </c>
    </row>
    <row r="289" spans="1:4" x14ac:dyDescent="0.25">
      <c r="A289" s="14"/>
      <c r="B289" s="14"/>
      <c r="C289" s="14"/>
      <c r="D289" s="16">
        <f t="shared" si="0"/>
        <v>0</v>
      </c>
    </row>
    <row r="290" spans="1:4" x14ac:dyDescent="0.25">
      <c r="A290" s="14"/>
      <c r="B290" s="14" t="s">
        <v>193</v>
      </c>
      <c r="C290" s="14">
        <v>3.496</v>
      </c>
      <c r="D290" s="16">
        <f t="shared" si="0"/>
        <v>4.0203999999999995</v>
      </c>
    </row>
    <row r="291" spans="1:4" x14ac:dyDescent="0.25">
      <c r="A291" s="14"/>
      <c r="B291" s="14" t="s">
        <v>194</v>
      </c>
      <c r="C291" s="14">
        <v>7.5785</v>
      </c>
      <c r="D291" s="16">
        <f t="shared" si="0"/>
        <v>8.7152750000000001</v>
      </c>
    </row>
    <row r="292" spans="1:4" x14ac:dyDescent="0.25">
      <c r="A292" s="14"/>
      <c r="B292" s="14" t="s">
        <v>195</v>
      </c>
      <c r="C292" s="14">
        <v>19.481000000000002</v>
      </c>
      <c r="D292" s="16">
        <f t="shared" si="0"/>
        <v>22.40315</v>
      </c>
    </row>
    <row r="293" spans="1:4" x14ac:dyDescent="0.25">
      <c r="A293" s="14"/>
      <c r="B293" s="14" t="s">
        <v>197</v>
      </c>
      <c r="C293" s="14">
        <v>26.737500000000001</v>
      </c>
      <c r="D293" s="16">
        <f t="shared" si="0"/>
        <v>30.748124999999998</v>
      </c>
    </row>
    <row r="294" spans="1:4" x14ac:dyDescent="0.25">
      <c r="A294" s="14"/>
      <c r="B294" s="14" t="s">
        <v>198</v>
      </c>
      <c r="C294" s="14">
        <v>24.84</v>
      </c>
      <c r="D294" s="16">
        <f t="shared" si="0"/>
        <v>28.565999999999999</v>
      </c>
    </row>
    <row r="295" spans="1:4" x14ac:dyDescent="0.25">
      <c r="A295" s="14"/>
      <c r="B295" s="14" t="s">
        <v>199</v>
      </c>
      <c r="C295" s="14">
        <v>23.827999999999999</v>
      </c>
      <c r="D295" s="16">
        <f t="shared" si="0"/>
        <v>27.402199999999997</v>
      </c>
    </row>
    <row r="296" spans="1:4" x14ac:dyDescent="0.25">
      <c r="A296" s="14"/>
      <c r="B296" s="14" t="s">
        <v>200</v>
      </c>
      <c r="C296" s="14">
        <v>77.52</v>
      </c>
      <c r="D296" s="16">
        <f t="shared" si="0"/>
        <v>89.147999999999982</v>
      </c>
    </row>
    <row r="297" spans="1:4" x14ac:dyDescent="0.25">
      <c r="A297" s="14"/>
      <c r="B297" s="14" t="s">
        <v>201</v>
      </c>
      <c r="C297" s="14">
        <v>98</v>
      </c>
      <c r="D297" s="16">
        <f t="shared" ref="D297:D354" si="1">C297*1.15</f>
        <v>112.69999999999999</v>
      </c>
    </row>
    <row r="298" spans="1:4" x14ac:dyDescent="0.25">
      <c r="A298" s="14"/>
      <c r="B298" s="14"/>
      <c r="C298" s="14"/>
      <c r="D298" s="16">
        <f t="shared" si="1"/>
        <v>0</v>
      </c>
    </row>
    <row r="299" spans="1:4" x14ac:dyDescent="0.25">
      <c r="A299" s="14"/>
      <c r="B299" s="14" t="s">
        <v>202</v>
      </c>
      <c r="C299" s="14">
        <v>3.0245000000000002</v>
      </c>
      <c r="D299" s="16">
        <f t="shared" si="1"/>
        <v>3.4781749999999998</v>
      </c>
    </row>
    <row r="300" spans="1:4" x14ac:dyDescent="0.25">
      <c r="A300" s="14"/>
      <c r="B300" s="14" t="s">
        <v>203</v>
      </c>
      <c r="C300" s="14">
        <v>4.16</v>
      </c>
      <c r="D300" s="16">
        <f t="shared" si="1"/>
        <v>4.7839999999999998</v>
      </c>
    </row>
    <row r="301" spans="1:4" x14ac:dyDescent="0.25">
      <c r="A301" s="14"/>
      <c r="B301" s="14" t="s">
        <v>204</v>
      </c>
      <c r="C301" s="14">
        <v>6.85</v>
      </c>
      <c r="D301" s="16">
        <f t="shared" si="1"/>
        <v>7.8774999999999986</v>
      </c>
    </row>
    <row r="302" spans="1:4" x14ac:dyDescent="0.25">
      <c r="A302" s="14"/>
      <c r="B302" s="14" t="s">
        <v>205</v>
      </c>
      <c r="C302" s="14">
        <v>12.47</v>
      </c>
      <c r="D302" s="16">
        <f t="shared" si="1"/>
        <v>14.3405</v>
      </c>
    </row>
    <row r="303" spans="1:4" x14ac:dyDescent="0.25">
      <c r="A303" s="14"/>
      <c r="B303" s="14" t="s">
        <v>206</v>
      </c>
      <c r="C303" s="14">
        <v>20.286000000000001</v>
      </c>
      <c r="D303" s="16">
        <f t="shared" si="1"/>
        <v>23.328900000000001</v>
      </c>
    </row>
    <row r="304" spans="1:4" x14ac:dyDescent="0.25">
      <c r="A304" s="14"/>
      <c r="B304" s="14" t="s">
        <v>207</v>
      </c>
      <c r="C304" s="14">
        <v>20.59</v>
      </c>
      <c r="D304" s="16">
        <f t="shared" si="1"/>
        <v>23.6785</v>
      </c>
    </row>
    <row r="305" spans="1:4" x14ac:dyDescent="0.25">
      <c r="A305" s="14"/>
      <c r="B305" s="14" t="s">
        <v>208</v>
      </c>
      <c r="C305" s="14">
        <v>43.43</v>
      </c>
      <c r="D305" s="16">
        <f t="shared" si="1"/>
        <v>49.944499999999998</v>
      </c>
    </row>
    <row r="306" spans="1:4" x14ac:dyDescent="0.25">
      <c r="A306" s="14"/>
      <c r="B306" s="14" t="s">
        <v>209</v>
      </c>
      <c r="C306" s="14">
        <v>82</v>
      </c>
      <c r="D306" s="16">
        <f t="shared" si="1"/>
        <v>94.3</v>
      </c>
    </row>
    <row r="307" spans="1:4" x14ac:dyDescent="0.25">
      <c r="A307" s="14"/>
      <c r="B307" s="14"/>
      <c r="C307" s="14"/>
      <c r="D307" s="16">
        <f t="shared" si="1"/>
        <v>0</v>
      </c>
    </row>
    <row r="308" spans="1:4" x14ac:dyDescent="0.25">
      <c r="A308" s="14"/>
      <c r="B308" s="14" t="s">
        <v>210</v>
      </c>
      <c r="C308" s="14">
        <v>3.726</v>
      </c>
      <c r="D308" s="16">
        <f t="shared" si="1"/>
        <v>4.2848999999999995</v>
      </c>
    </row>
    <row r="309" spans="1:4" x14ac:dyDescent="0.25">
      <c r="A309" s="14"/>
      <c r="B309" s="14" t="s">
        <v>211</v>
      </c>
      <c r="C309" s="14">
        <v>5.52</v>
      </c>
      <c r="D309" s="16">
        <f t="shared" si="1"/>
        <v>6.347999999999999</v>
      </c>
    </row>
    <row r="310" spans="1:4" x14ac:dyDescent="0.25">
      <c r="A310" s="14"/>
      <c r="B310" s="14" t="s">
        <v>212</v>
      </c>
      <c r="C310" s="14">
        <v>7.43</v>
      </c>
      <c r="D310" s="16">
        <f t="shared" si="1"/>
        <v>8.5444999999999993</v>
      </c>
    </row>
    <row r="311" spans="1:4" x14ac:dyDescent="0.25">
      <c r="A311" s="14"/>
      <c r="B311" s="14" t="s">
        <v>213</v>
      </c>
      <c r="C311" s="14">
        <v>9.3699999999999992</v>
      </c>
      <c r="D311" s="16">
        <f t="shared" si="1"/>
        <v>10.775499999999997</v>
      </c>
    </row>
    <row r="312" spans="1:4" x14ac:dyDescent="0.25">
      <c r="A312" s="14"/>
      <c r="B312" s="14" t="s">
        <v>214</v>
      </c>
      <c r="C312" s="14">
        <v>12.9</v>
      </c>
      <c r="D312" s="16">
        <f t="shared" si="1"/>
        <v>14.834999999999999</v>
      </c>
    </row>
    <row r="313" spans="1:4" x14ac:dyDescent="0.25">
      <c r="A313" s="14"/>
      <c r="B313" s="14" t="s">
        <v>215</v>
      </c>
      <c r="C313" s="14">
        <v>8.0500000000000007</v>
      </c>
      <c r="D313" s="16">
        <f t="shared" si="1"/>
        <v>9.2575000000000003</v>
      </c>
    </row>
    <row r="314" spans="1:4" x14ac:dyDescent="0.25">
      <c r="A314" s="14"/>
      <c r="B314" s="14" t="s">
        <v>216</v>
      </c>
      <c r="C314" s="14">
        <v>15.9</v>
      </c>
      <c r="D314" s="16">
        <f t="shared" si="1"/>
        <v>18.285</v>
      </c>
    </row>
    <row r="315" spans="1:4" x14ac:dyDescent="0.25">
      <c r="A315" s="14"/>
      <c r="B315" s="14" t="s">
        <v>217</v>
      </c>
      <c r="C315" s="14">
        <v>20.93</v>
      </c>
      <c r="D315" s="16">
        <f t="shared" si="1"/>
        <v>24.069499999999998</v>
      </c>
    </row>
    <row r="316" spans="1:4" x14ac:dyDescent="0.25">
      <c r="A316" s="14"/>
      <c r="B316" s="14" t="s">
        <v>218</v>
      </c>
      <c r="C316" s="14">
        <v>49.55</v>
      </c>
      <c r="D316" s="16">
        <f t="shared" si="1"/>
        <v>56.982499999999995</v>
      </c>
    </row>
    <row r="317" spans="1:4" x14ac:dyDescent="0.25">
      <c r="A317" s="14"/>
      <c r="B317" s="14" t="s">
        <v>219</v>
      </c>
      <c r="C317" s="14">
        <v>27.25</v>
      </c>
      <c r="D317" s="16">
        <f t="shared" si="1"/>
        <v>31.337499999999999</v>
      </c>
    </row>
    <row r="318" spans="1:4" x14ac:dyDescent="0.25">
      <c r="A318" s="14"/>
      <c r="B318" s="14" t="s">
        <v>220</v>
      </c>
      <c r="C318" s="14">
        <v>66.290000000000006</v>
      </c>
      <c r="D318" s="16">
        <f t="shared" si="1"/>
        <v>76.233500000000006</v>
      </c>
    </row>
    <row r="319" spans="1:4" x14ac:dyDescent="0.25">
      <c r="A319" s="14"/>
      <c r="B319" s="14"/>
      <c r="C319" s="14"/>
      <c r="D319" s="16">
        <f t="shared" si="1"/>
        <v>0</v>
      </c>
    </row>
    <row r="320" spans="1:4" x14ac:dyDescent="0.25">
      <c r="A320" s="14"/>
      <c r="B320" s="14" t="s">
        <v>221</v>
      </c>
      <c r="C320" s="14">
        <v>5.577</v>
      </c>
      <c r="D320" s="16">
        <f t="shared" si="1"/>
        <v>6.4135499999999999</v>
      </c>
    </row>
    <row r="321" spans="1:4" x14ac:dyDescent="0.25">
      <c r="A321" s="14"/>
      <c r="B321" s="14" t="s">
        <v>222</v>
      </c>
      <c r="C321" s="14">
        <v>7.18</v>
      </c>
      <c r="D321" s="16">
        <f t="shared" si="1"/>
        <v>8.2569999999999997</v>
      </c>
    </row>
    <row r="322" spans="1:4" x14ac:dyDescent="0.25">
      <c r="A322" s="14"/>
      <c r="B322" s="14" t="s">
        <v>223</v>
      </c>
      <c r="C322" s="14">
        <v>13.71</v>
      </c>
      <c r="D322" s="16">
        <f t="shared" si="1"/>
        <v>15.766500000000001</v>
      </c>
    </row>
    <row r="323" spans="1:4" x14ac:dyDescent="0.25">
      <c r="A323" s="14"/>
      <c r="B323" s="14"/>
      <c r="C323" s="14"/>
      <c r="D323" s="16">
        <f t="shared" si="1"/>
        <v>0</v>
      </c>
    </row>
    <row r="324" spans="1:4" x14ac:dyDescent="0.25">
      <c r="A324" s="14"/>
      <c r="B324" s="14" t="s">
        <v>225</v>
      </c>
      <c r="C324" s="14">
        <v>25.19</v>
      </c>
      <c r="D324" s="16">
        <f t="shared" si="1"/>
        <v>28.968499999999999</v>
      </c>
    </row>
    <row r="325" spans="1:4" x14ac:dyDescent="0.25">
      <c r="A325" s="14"/>
      <c r="B325" s="14" t="s">
        <v>226</v>
      </c>
      <c r="C325" s="14">
        <v>24.89</v>
      </c>
      <c r="D325" s="16">
        <f t="shared" si="1"/>
        <v>28.6235</v>
      </c>
    </row>
    <row r="326" spans="1:4" x14ac:dyDescent="0.25">
      <c r="A326" s="14"/>
      <c r="B326" s="14" t="s">
        <v>224</v>
      </c>
      <c r="C326" s="14">
        <v>31.39</v>
      </c>
      <c r="D326" s="16">
        <f t="shared" si="1"/>
        <v>36.098500000000001</v>
      </c>
    </row>
    <row r="327" spans="1:4" x14ac:dyDescent="0.25">
      <c r="A327" s="14"/>
      <c r="B327" s="14" t="s">
        <v>227</v>
      </c>
      <c r="C327" s="14">
        <v>75.23</v>
      </c>
      <c r="D327" s="16">
        <f t="shared" si="1"/>
        <v>86.514499999999998</v>
      </c>
    </row>
    <row r="328" spans="1:4" x14ac:dyDescent="0.25">
      <c r="A328" s="14"/>
      <c r="B328" s="14" t="s">
        <v>228</v>
      </c>
      <c r="C328" s="14">
        <v>113.66</v>
      </c>
      <c r="D328" s="16">
        <f t="shared" si="1"/>
        <v>130.70899999999997</v>
      </c>
    </row>
    <row r="329" spans="1:4" x14ac:dyDescent="0.25">
      <c r="A329" s="14"/>
      <c r="B329" s="14" t="s">
        <v>229</v>
      </c>
      <c r="C329" s="14">
        <v>115.76</v>
      </c>
      <c r="D329" s="16">
        <f t="shared" si="1"/>
        <v>133.124</v>
      </c>
    </row>
    <row r="330" spans="1:4" x14ac:dyDescent="0.25">
      <c r="A330" s="14"/>
      <c r="B330" s="14" t="s">
        <v>230</v>
      </c>
      <c r="C330" s="14">
        <v>355</v>
      </c>
      <c r="D330" s="16">
        <f t="shared" si="1"/>
        <v>408.24999999999994</v>
      </c>
    </row>
    <row r="331" spans="1:4" x14ac:dyDescent="0.25">
      <c r="A331" s="14"/>
      <c r="B331" s="14" t="s">
        <v>231</v>
      </c>
      <c r="C331" s="14">
        <v>598</v>
      </c>
      <c r="D331" s="16">
        <f t="shared" si="1"/>
        <v>687.69999999999993</v>
      </c>
    </row>
    <row r="332" spans="1:4" x14ac:dyDescent="0.25">
      <c r="A332" s="14"/>
      <c r="B332" s="14"/>
      <c r="C332" s="14"/>
      <c r="D332" s="16">
        <f t="shared" si="1"/>
        <v>0</v>
      </c>
    </row>
    <row r="333" spans="1:4" x14ac:dyDescent="0.25">
      <c r="A333" s="14"/>
      <c r="B333" s="14" t="s">
        <v>232</v>
      </c>
      <c r="C333" s="14">
        <v>32</v>
      </c>
      <c r="D333" s="16">
        <f t="shared" si="1"/>
        <v>36.799999999999997</v>
      </c>
    </row>
    <row r="334" spans="1:4" x14ac:dyDescent="0.25">
      <c r="A334" s="14"/>
      <c r="B334" s="14" t="s">
        <v>233</v>
      </c>
      <c r="C334" s="14">
        <v>33</v>
      </c>
      <c r="D334" s="16">
        <f t="shared" si="1"/>
        <v>37.949999999999996</v>
      </c>
    </row>
    <row r="335" spans="1:4" x14ac:dyDescent="0.25">
      <c r="A335" s="14"/>
      <c r="B335" s="14" t="s">
        <v>234</v>
      </c>
      <c r="C335" s="14">
        <v>43</v>
      </c>
      <c r="D335" s="16">
        <f t="shared" si="1"/>
        <v>49.449999999999996</v>
      </c>
    </row>
    <row r="336" spans="1:4" x14ac:dyDescent="0.25">
      <c r="A336" s="14"/>
      <c r="B336" s="14" t="s">
        <v>235</v>
      </c>
      <c r="C336" s="14">
        <v>276</v>
      </c>
      <c r="D336" s="16">
        <f t="shared" si="1"/>
        <v>317.39999999999998</v>
      </c>
    </row>
    <row r="337" spans="1:4" x14ac:dyDescent="0.25">
      <c r="A337" s="14"/>
      <c r="B337" s="14" t="s">
        <v>236</v>
      </c>
      <c r="C337" s="14">
        <v>88</v>
      </c>
      <c r="D337" s="16">
        <f t="shared" si="1"/>
        <v>101.19999999999999</v>
      </c>
    </row>
    <row r="338" spans="1:4" x14ac:dyDescent="0.25">
      <c r="A338" s="14"/>
      <c r="B338" s="14" t="s">
        <v>237</v>
      </c>
      <c r="C338" s="14">
        <v>408</v>
      </c>
      <c r="D338" s="16">
        <f t="shared" si="1"/>
        <v>469.2</v>
      </c>
    </row>
    <row r="339" spans="1:4" x14ac:dyDescent="0.25">
      <c r="A339" s="14"/>
      <c r="B339" s="14" t="s">
        <v>238</v>
      </c>
      <c r="C339" s="14">
        <v>335</v>
      </c>
      <c r="D339" s="16">
        <f t="shared" si="1"/>
        <v>385.24999999999994</v>
      </c>
    </row>
    <row r="340" spans="1:4" x14ac:dyDescent="0.25">
      <c r="A340" s="14"/>
      <c r="B340" s="14" t="s">
        <v>239</v>
      </c>
      <c r="C340" s="14">
        <v>418</v>
      </c>
      <c r="D340" s="16">
        <f t="shared" si="1"/>
        <v>480.7</v>
      </c>
    </row>
    <row r="341" spans="1:4" x14ac:dyDescent="0.25">
      <c r="A341" s="14"/>
      <c r="B341" s="14"/>
      <c r="C341" s="14"/>
      <c r="D341" s="16">
        <f t="shared" si="1"/>
        <v>0</v>
      </c>
    </row>
    <row r="342" spans="1:4" x14ac:dyDescent="0.25">
      <c r="A342" s="14"/>
      <c r="B342" s="14" t="s">
        <v>240</v>
      </c>
      <c r="C342" s="14"/>
      <c r="D342" s="16">
        <f t="shared" si="1"/>
        <v>0</v>
      </c>
    </row>
    <row r="343" spans="1:4" x14ac:dyDescent="0.25">
      <c r="A343" s="14"/>
      <c r="B343" s="14"/>
      <c r="C343" s="14"/>
      <c r="D343" s="16">
        <f t="shared" si="1"/>
        <v>0</v>
      </c>
    </row>
    <row r="344" spans="1:4" x14ac:dyDescent="0.25">
      <c r="A344" s="14"/>
      <c r="B344" s="14" t="s">
        <v>690</v>
      </c>
      <c r="C344" s="14">
        <v>66.349999999999994</v>
      </c>
      <c r="D344" s="16">
        <f t="shared" si="1"/>
        <v>76.302499999999981</v>
      </c>
    </row>
    <row r="345" spans="1:4" x14ac:dyDescent="0.25">
      <c r="A345" s="14"/>
      <c r="B345" s="14" t="s">
        <v>691</v>
      </c>
      <c r="C345" s="14">
        <v>95.91</v>
      </c>
      <c r="D345" s="16">
        <f t="shared" si="1"/>
        <v>110.29649999999999</v>
      </c>
    </row>
    <row r="346" spans="1:4" x14ac:dyDescent="0.25">
      <c r="A346" s="14"/>
      <c r="B346" s="14" t="s">
        <v>692</v>
      </c>
      <c r="C346" s="14">
        <v>160.88</v>
      </c>
      <c r="D346" s="16">
        <f t="shared" si="1"/>
        <v>185.01199999999997</v>
      </c>
    </row>
    <row r="347" spans="1:4" x14ac:dyDescent="0.25">
      <c r="A347" s="14"/>
      <c r="B347" s="14" t="s">
        <v>693</v>
      </c>
      <c r="C347" s="14">
        <v>299.57</v>
      </c>
      <c r="D347" s="16">
        <f t="shared" si="1"/>
        <v>344.50549999999998</v>
      </c>
    </row>
    <row r="348" spans="1:4" x14ac:dyDescent="0.25">
      <c r="A348" s="14"/>
      <c r="B348" s="14" t="s">
        <v>694</v>
      </c>
      <c r="C348" s="14">
        <v>1058</v>
      </c>
      <c r="D348" s="16">
        <f t="shared" si="1"/>
        <v>1216.6999999999998</v>
      </c>
    </row>
    <row r="349" spans="1:4" x14ac:dyDescent="0.25">
      <c r="A349" s="14"/>
      <c r="B349" s="14"/>
      <c r="C349" s="14"/>
      <c r="D349" s="16">
        <f t="shared" si="1"/>
        <v>0</v>
      </c>
    </row>
    <row r="350" spans="1:4" x14ac:dyDescent="0.25">
      <c r="A350" s="14"/>
      <c r="B350" s="14" t="s">
        <v>695</v>
      </c>
      <c r="C350" s="14">
        <v>243.11</v>
      </c>
      <c r="D350" s="16">
        <f t="shared" si="1"/>
        <v>279.57650000000001</v>
      </c>
    </row>
    <row r="351" spans="1:4" x14ac:dyDescent="0.25">
      <c r="A351" s="14"/>
      <c r="B351" s="14" t="s">
        <v>696</v>
      </c>
      <c r="C351" s="14">
        <v>324.76</v>
      </c>
      <c r="D351" s="16">
        <f t="shared" si="1"/>
        <v>373.47399999999993</v>
      </c>
    </row>
    <row r="352" spans="1:4" x14ac:dyDescent="0.25">
      <c r="A352" s="14"/>
      <c r="B352" s="14" t="s">
        <v>697</v>
      </c>
      <c r="C352" s="14">
        <v>551.54</v>
      </c>
      <c r="D352" s="16">
        <f t="shared" si="1"/>
        <v>634.27099999999996</v>
      </c>
    </row>
    <row r="353" spans="1:4" x14ac:dyDescent="0.25">
      <c r="A353" s="14"/>
      <c r="B353" s="14" t="s">
        <v>698</v>
      </c>
      <c r="C353" s="14">
        <v>983.48</v>
      </c>
      <c r="D353" s="16">
        <f t="shared" si="1"/>
        <v>1131.002</v>
      </c>
    </row>
    <row r="354" spans="1:4" x14ac:dyDescent="0.25">
      <c r="A354" s="14"/>
      <c r="B354" s="14" t="s">
        <v>699</v>
      </c>
      <c r="C354" s="14">
        <v>2723.2</v>
      </c>
      <c r="D354" s="16">
        <f t="shared" si="1"/>
        <v>3131.6799999999994</v>
      </c>
    </row>
    <row r="414" spans="2:3" x14ac:dyDescent="0.25">
      <c r="B414" s="1"/>
      <c r="C414" s="1"/>
    </row>
    <row r="424" spans="2:3" x14ac:dyDescent="0.25">
      <c r="B424" s="1"/>
      <c r="C424" s="1"/>
    </row>
    <row r="432" spans="2:3" x14ac:dyDescent="0.25">
      <c r="B432" s="1"/>
      <c r="C432" s="1"/>
    </row>
    <row r="444" spans="2:3" x14ac:dyDescent="0.25">
      <c r="B444" s="1"/>
      <c r="C444" s="1"/>
    </row>
    <row r="519" spans="2:3" x14ac:dyDescent="0.25">
      <c r="B519" s="1"/>
      <c r="C519" s="1"/>
    </row>
    <row r="612" spans="2:4" x14ac:dyDescent="0.25">
      <c r="B612" s="2"/>
      <c r="C612" s="5"/>
      <c r="D612" s="11"/>
    </row>
    <row r="613" spans="2:4" x14ac:dyDescent="0.25">
      <c r="B613" s="2"/>
      <c r="C613" s="5"/>
      <c r="D613" s="11"/>
    </row>
    <row r="614" spans="2:4" x14ac:dyDescent="0.25">
      <c r="B614" s="2"/>
      <c r="C614" s="5"/>
      <c r="D614" s="11"/>
    </row>
    <row r="615" spans="2:4" x14ac:dyDescent="0.25">
      <c r="B615" s="2"/>
      <c r="C615" s="5"/>
      <c r="D615" s="11"/>
    </row>
    <row r="616" spans="2:4" x14ac:dyDescent="0.25">
      <c r="B616" s="2"/>
      <c r="C616" s="5"/>
      <c r="D616" s="11"/>
    </row>
    <row r="617" spans="2:4" x14ac:dyDescent="0.25">
      <c r="B617" s="2"/>
      <c r="C617" s="6"/>
      <c r="D617" s="11"/>
    </row>
    <row r="618" spans="2:4" x14ac:dyDescent="0.25">
      <c r="B618" s="2"/>
      <c r="C618" s="6"/>
      <c r="D618" s="11"/>
    </row>
    <row r="619" spans="2:4" x14ac:dyDescent="0.25">
      <c r="B619" s="2"/>
      <c r="C619" s="6"/>
      <c r="D619" s="11"/>
    </row>
    <row r="620" spans="2:4" x14ac:dyDescent="0.25">
      <c r="B620" s="2"/>
      <c r="C620" s="6"/>
      <c r="D620" s="11"/>
    </row>
    <row r="621" spans="2:4" x14ac:dyDescent="0.25">
      <c r="B621" s="2"/>
      <c r="C621" s="6"/>
      <c r="D621" s="11"/>
    </row>
    <row r="622" spans="2:4" x14ac:dyDescent="0.25">
      <c r="B622" s="2"/>
      <c r="C622" s="6"/>
      <c r="D622" s="11"/>
    </row>
    <row r="623" spans="2:4" x14ac:dyDescent="0.25">
      <c r="B623" s="3"/>
      <c r="C623" s="6"/>
      <c r="D623" s="11"/>
    </row>
    <row r="624" spans="2:4" x14ac:dyDescent="0.25">
      <c r="B624" s="2"/>
      <c r="C624" s="7"/>
      <c r="D624" s="11"/>
    </row>
    <row r="625" spans="2:4" x14ac:dyDescent="0.25">
      <c r="B625" s="3"/>
      <c r="C625" s="6"/>
      <c r="D625" s="11"/>
    </row>
    <row r="626" spans="2:4" x14ac:dyDescent="0.25">
      <c r="B626" s="2"/>
      <c r="C626" s="6"/>
      <c r="D626" s="11"/>
    </row>
    <row r="627" spans="2:4" x14ac:dyDescent="0.25">
      <c r="B627" s="2"/>
      <c r="C627" s="6"/>
      <c r="D627" s="11"/>
    </row>
    <row r="628" spans="2:4" x14ac:dyDescent="0.25">
      <c r="B628" s="3"/>
      <c r="C628" s="6"/>
      <c r="D628" s="11"/>
    </row>
    <row r="629" spans="2:4" x14ac:dyDescent="0.25">
      <c r="B629" s="2"/>
      <c r="C629" s="6"/>
      <c r="D629" s="11"/>
    </row>
    <row r="630" spans="2:4" x14ac:dyDescent="0.25">
      <c r="B630" s="2"/>
      <c r="C630" s="6"/>
      <c r="D630" s="11"/>
    </row>
    <row r="631" spans="2:4" x14ac:dyDescent="0.25">
      <c r="B631" s="2"/>
      <c r="C631" s="6"/>
      <c r="D631" s="11"/>
    </row>
    <row r="632" spans="2:4" x14ac:dyDescent="0.25">
      <c r="B632" s="2"/>
      <c r="C632" s="6"/>
      <c r="D632" s="11"/>
    </row>
    <row r="633" spans="2:4" x14ac:dyDescent="0.25">
      <c r="B633" s="2"/>
      <c r="C633" s="6"/>
      <c r="D633" s="11"/>
    </row>
    <row r="634" spans="2:4" x14ac:dyDescent="0.25">
      <c r="B634" s="2"/>
      <c r="C634" s="6"/>
      <c r="D634" s="11"/>
    </row>
    <row r="635" spans="2:4" x14ac:dyDescent="0.25">
      <c r="B635" s="2"/>
      <c r="C635" s="6"/>
      <c r="D635" s="11"/>
    </row>
    <row r="636" spans="2:4" x14ac:dyDescent="0.25">
      <c r="B636" s="4"/>
      <c r="C636" s="8"/>
      <c r="D636" s="11"/>
    </row>
    <row r="637" spans="2:4" x14ac:dyDescent="0.25">
      <c r="B637" s="2"/>
      <c r="C637" s="9"/>
      <c r="D637" s="11"/>
    </row>
    <row r="638" spans="2:4" x14ac:dyDescent="0.25">
      <c r="B638" s="2"/>
      <c r="C638" s="9"/>
      <c r="D638" s="11"/>
    </row>
    <row r="639" spans="2:4" x14ac:dyDescent="0.25">
      <c r="B639" s="2"/>
      <c r="C639" s="9"/>
      <c r="D639" s="11"/>
    </row>
    <row r="640" spans="2:4" x14ac:dyDescent="0.25">
      <c r="B640" s="2"/>
      <c r="C640" s="9"/>
      <c r="D640" s="11"/>
    </row>
    <row r="641" spans="2:4" x14ac:dyDescent="0.25">
      <c r="B641" s="2"/>
      <c r="C641" s="9"/>
      <c r="D641" s="11"/>
    </row>
    <row r="642" spans="2:4" x14ac:dyDescent="0.25">
      <c r="B642" s="3"/>
      <c r="C642" s="9"/>
      <c r="D642" s="11"/>
    </row>
    <row r="643" spans="2:4" x14ac:dyDescent="0.25">
      <c r="B643" s="2"/>
      <c r="C643" s="7"/>
      <c r="D643" s="11"/>
    </row>
    <row r="644" spans="2:4" x14ac:dyDescent="0.25">
      <c r="B644" s="2"/>
      <c r="C644" s="9"/>
      <c r="D644" s="11"/>
    </row>
    <row r="645" spans="2:4" x14ac:dyDescent="0.25">
      <c r="B645" s="3"/>
      <c r="C645" s="9"/>
      <c r="D645" s="11"/>
    </row>
    <row r="646" spans="2:4" x14ac:dyDescent="0.25">
      <c r="B646" s="2"/>
      <c r="C646" s="10"/>
      <c r="D646" s="11"/>
    </row>
    <row r="647" spans="2:4" x14ac:dyDescent="0.25">
      <c r="B647" s="2"/>
      <c r="C647" s="9"/>
      <c r="D647" s="11"/>
    </row>
    <row r="648" spans="2:4" x14ac:dyDescent="0.25">
      <c r="B648" s="2"/>
      <c r="C648" s="9"/>
      <c r="D648" s="11"/>
    </row>
    <row r="649" spans="2:4" x14ac:dyDescent="0.25">
      <c r="B649" s="2"/>
      <c r="C649" s="9"/>
      <c r="D649" s="11"/>
    </row>
    <row r="650" spans="2:4" x14ac:dyDescent="0.25">
      <c r="B650" s="2"/>
      <c r="C650" s="9"/>
      <c r="D650" s="11"/>
    </row>
    <row r="651" spans="2:4" x14ac:dyDescent="0.25">
      <c r="B651" s="2"/>
      <c r="C651" s="9"/>
      <c r="D651" s="11"/>
    </row>
    <row r="652" spans="2:4" x14ac:dyDescent="0.25">
      <c r="B652" s="2"/>
      <c r="C652" s="9"/>
      <c r="D652" s="11"/>
    </row>
    <row r="653" spans="2:4" x14ac:dyDescent="0.25">
      <c r="B653" s="2"/>
      <c r="C653" s="9"/>
      <c r="D653" s="11"/>
    </row>
    <row r="654" spans="2:4" x14ac:dyDescent="0.25">
      <c r="B654" s="2"/>
      <c r="C654" s="9"/>
      <c r="D654" s="11"/>
    </row>
    <row r="655" spans="2:4" x14ac:dyDescent="0.25">
      <c r="B655" s="2"/>
      <c r="C655" s="9"/>
      <c r="D655" s="11"/>
    </row>
    <row r="656" spans="2:4" x14ac:dyDescent="0.25">
      <c r="B656" s="2"/>
      <c r="C656" s="9"/>
      <c r="D656" s="11"/>
    </row>
    <row r="657" spans="2:4" x14ac:dyDescent="0.25">
      <c r="B657" s="2"/>
      <c r="C657" s="9"/>
      <c r="D657" s="11"/>
    </row>
    <row r="658" spans="2:4" x14ac:dyDescent="0.25">
      <c r="B658" s="2"/>
      <c r="C658" s="9"/>
      <c r="D658" s="11"/>
    </row>
    <row r="659" spans="2:4" x14ac:dyDescent="0.25">
      <c r="B659" s="2"/>
      <c r="C659" s="9"/>
      <c r="D659" s="11"/>
    </row>
    <row r="660" spans="2:4" x14ac:dyDescent="0.25">
      <c r="B660" s="2"/>
      <c r="C660" s="9"/>
      <c r="D660" s="11"/>
    </row>
    <row r="661" spans="2:4" x14ac:dyDescent="0.25">
      <c r="B661" s="2"/>
      <c r="C661" s="9"/>
      <c r="D661" s="11"/>
    </row>
    <row r="662" spans="2:4" x14ac:dyDescent="0.25">
      <c r="B662" s="2"/>
      <c r="C662" s="9"/>
      <c r="D662" s="11"/>
    </row>
    <row r="663" spans="2:4" x14ac:dyDescent="0.25">
      <c r="B663" s="2"/>
      <c r="C663" s="9"/>
      <c r="D663" s="11"/>
    </row>
    <row r="664" spans="2:4" x14ac:dyDescent="0.25">
      <c r="B664" s="2"/>
      <c r="C664" s="9"/>
      <c r="D664" s="11"/>
    </row>
    <row r="665" spans="2:4" x14ac:dyDescent="0.25">
      <c r="B665" s="2"/>
      <c r="C665" s="9"/>
      <c r="D665" s="11"/>
    </row>
    <row r="666" spans="2:4" x14ac:dyDescent="0.25">
      <c r="B666" s="2"/>
      <c r="C666" s="9"/>
      <c r="D666" s="11"/>
    </row>
    <row r="667" spans="2:4" x14ac:dyDescent="0.25">
      <c r="B667" s="2"/>
      <c r="C667" s="9"/>
      <c r="D667" s="11"/>
    </row>
    <row r="668" spans="2:4" x14ac:dyDescent="0.25">
      <c r="B668" s="3"/>
      <c r="C668" s="9"/>
      <c r="D668" s="11"/>
    </row>
    <row r="669" spans="2:4" x14ac:dyDescent="0.25">
      <c r="B669" s="2"/>
      <c r="C669" s="10"/>
      <c r="D669" s="11"/>
    </row>
    <row r="670" spans="2:4" x14ac:dyDescent="0.25">
      <c r="B670" s="2"/>
      <c r="C670" s="9"/>
      <c r="D670" s="11"/>
    </row>
    <row r="671" spans="2:4" x14ac:dyDescent="0.25">
      <c r="B671" s="2"/>
      <c r="C671" s="9"/>
      <c r="D671" s="11"/>
    </row>
    <row r="672" spans="2:4" x14ac:dyDescent="0.25">
      <c r="B672" s="2"/>
      <c r="C672" s="9"/>
      <c r="D672" s="11"/>
    </row>
    <row r="673" spans="2:4" x14ac:dyDescent="0.25">
      <c r="B673" s="2"/>
      <c r="C673" s="9"/>
      <c r="D673" s="11"/>
    </row>
    <row r="674" spans="2:4" x14ac:dyDescent="0.25">
      <c r="B674" s="2"/>
      <c r="C674" s="9"/>
      <c r="D674" s="11"/>
    </row>
    <row r="675" spans="2:4" x14ac:dyDescent="0.25">
      <c r="B675" s="2"/>
      <c r="C675" s="9"/>
      <c r="D675" s="11"/>
    </row>
    <row r="676" spans="2:4" x14ac:dyDescent="0.25">
      <c r="B676" s="2"/>
      <c r="C676" s="9"/>
      <c r="D676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C5EA-EFD1-4317-872C-A0A207ED07CD}">
  <dimension ref="B4:N69"/>
  <sheetViews>
    <sheetView workbookViewId="0">
      <selection activeCell="B4" sqref="B4:N69"/>
    </sheetView>
  </sheetViews>
  <sheetFormatPr baseColWidth="10" defaultRowHeight="15" x14ac:dyDescent="0.25"/>
  <cols>
    <col min="4" max="4" width="19.140625" customWidth="1"/>
    <col min="6" max="6" width="9.5703125" customWidth="1"/>
    <col min="10" max="10" width="0.28515625" customWidth="1"/>
    <col min="11" max="11" width="1" customWidth="1"/>
    <col min="14" max="14" width="13" customWidth="1"/>
  </cols>
  <sheetData>
    <row r="4" spans="2:14" x14ac:dyDescent="0.25">
      <c r="B4" s="17" t="s">
        <v>710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19" t="s">
        <v>712</v>
      </c>
    </row>
    <row r="5" spans="2:14" ht="25.5" x14ac:dyDescent="0.25">
      <c r="B5" s="20">
        <v>1</v>
      </c>
      <c r="C5" s="21" t="s">
        <v>717</v>
      </c>
      <c r="D5" s="22" t="s">
        <v>718</v>
      </c>
      <c r="E5" s="23">
        <v>50</v>
      </c>
      <c r="F5" s="24" t="s">
        <v>719</v>
      </c>
      <c r="G5" s="22" t="s">
        <v>720</v>
      </c>
      <c r="H5" s="25">
        <v>12</v>
      </c>
      <c r="I5" s="26" t="s">
        <v>720</v>
      </c>
      <c r="J5" s="26"/>
      <c r="K5" s="27">
        <v>600</v>
      </c>
      <c r="L5" s="27"/>
      <c r="M5" s="18"/>
      <c r="N5" s="19">
        <f>(H5*1.24)</f>
        <v>14.879999999999999</v>
      </c>
    </row>
    <row r="6" spans="2:14" ht="25.5" x14ac:dyDescent="0.25">
      <c r="B6" s="20">
        <v>2</v>
      </c>
      <c r="C6" s="21" t="s">
        <v>721</v>
      </c>
      <c r="D6" s="22" t="s">
        <v>722</v>
      </c>
      <c r="E6" s="23">
        <v>50</v>
      </c>
      <c r="F6" s="24" t="s">
        <v>719</v>
      </c>
      <c r="G6" s="22" t="s">
        <v>720</v>
      </c>
      <c r="H6" s="25">
        <v>13.04</v>
      </c>
      <c r="I6" s="26" t="s">
        <v>720</v>
      </c>
      <c r="J6" s="26"/>
      <c r="K6" s="27">
        <v>652</v>
      </c>
      <c r="L6" s="27"/>
      <c r="M6" s="18"/>
      <c r="N6" s="19">
        <f t="shared" ref="N6:N69" si="0">(H6*1.24)</f>
        <v>16.169599999999999</v>
      </c>
    </row>
    <row r="7" spans="2:14" ht="25.5" x14ac:dyDescent="0.25">
      <c r="B7" s="20">
        <v>3</v>
      </c>
      <c r="C7" s="21" t="s">
        <v>723</v>
      </c>
      <c r="D7" s="22" t="s">
        <v>724</v>
      </c>
      <c r="E7" s="23">
        <v>50</v>
      </c>
      <c r="F7" s="24" t="s">
        <v>719</v>
      </c>
      <c r="G7" s="22" t="s">
        <v>720</v>
      </c>
      <c r="H7" s="25">
        <v>12.26</v>
      </c>
      <c r="I7" s="26" t="s">
        <v>720</v>
      </c>
      <c r="J7" s="26"/>
      <c r="K7" s="27">
        <v>613</v>
      </c>
      <c r="L7" s="27"/>
      <c r="M7" s="18"/>
      <c r="N7" s="19">
        <f t="shared" si="0"/>
        <v>15.202399999999999</v>
      </c>
    </row>
    <row r="8" spans="2:14" ht="38.25" x14ac:dyDescent="0.25">
      <c r="B8" s="20">
        <v>4</v>
      </c>
      <c r="C8" s="21" t="s">
        <v>725</v>
      </c>
      <c r="D8" s="22" t="s">
        <v>726</v>
      </c>
      <c r="E8" s="23">
        <v>50</v>
      </c>
      <c r="F8" s="24" t="s">
        <v>719</v>
      </c>
      <c r="G8" s="22" t="s">
        <v>720</v>
      </c>
      <c r="H8" s="25">
        <v>8.39</v>
      </c>
      <c r="I8" s="26" t="s">
        <v>720</v>
      </c>
      <c r="J8" s="26"/>
      <c r="K8" s="27">
        <v>419.5</v>
      </c>
      <c r="L8" s="27"/>
      <c r="M8" s="18"/>
      <c r="N8" s="19">
        <f t="shared" si="0"/>
        <v>10.403600000000001</v>
      </c>
    </row>
    <row r="9" spans="2:14" ht="38.25" x14ac:dyDescent="0.25">
      <c r="B9" s="20">
        <v>5</v>
      </c>
      <c r="C9" s="21" t="s">
        <v>727</v>
      </c>
      <c r="D9" s="22" t="s">
        <v>728</v>
      </c>
      <c r="E9" s="23">
        <v>50</v>
      </c>
      <c r="F9" s="24" t="s">
        <v>719</v>
      </c>
      <c r="G9" s="22" t="s">
        <v>720</v>
      </c>
      <c r="H9" s="25">
        <v>22.73</v>
      </c>
      <c r="I9" s="26" t="s">
        <v>720</v>
      </c>
      <c r="J9" s="26"/>
      <c r="K9" s="28">
        <v>1136.5</v>
      </c>
      <c r="L9" s="28"/>
      <c r="M9" s="18"/>
      <c r="N9" s="19">
        <f t="shared" si="0"/>
        <v>28.185200000000002</v>
      </c>
    </row>
    <row r="10" spans="2:14" ht="25.5" x14ac:dyDescent="0.25">
      <c r="B10" s="20">
        <v>6</v>
      </c>
      <c r="C10" s="21" t="s">
        <v>729</v>
      </c>
      <c r="D10" s="22" t="s">
        <v>730</v>
      </c>
      <c r="E10" s="29">
        <v>1</v>
      </c>
      <c r="F10" s="24" t="s">
        <v>719</v>
      </c>
      <c r="G10" s="22" t="s">
        <v>720</v>
      </c>
      <c r="H10" s="25">
        <v>11.36</v>
      </c>
      <c r="I10" s="26" t="s">
        <v>720</v>
      </c>
      <c r="J10" s="26"/>
      <c r="K10" s="27">
        <v>11.36</v>
      </c>
      <c r="L10" s="27"/>
      <c r="M10" s="18"/>
      <c r="N10" s="19">
        <f t="shared" si="0"/>
        <v>14.086399999999999</v>
      </c>
    </row>
    <row r="11" spans="2:14" ht="25.5" x14ac:dyDescent="0.25">
      <c r="B11" s="20">
        <v>7</v>
      </c>
      <c r="C11" s="21" t="s">
        <v>731</v>
      </c>
      <c r="D11" s="22" t="s">
        <v>732</v>
      </c>
      <c r="E11" s="29">
        <v>1</v>
      </c>
      <c r="F11" s="24" t="s">
        <v>719</v>
      </c>
      <c r="G11" s="22" t="s">
        <v>720</v>
      </c>
      <c r="H11" s="25">
        <v>10.69</v>
      </c>
      <c r="I11" s="26" t="s">
        <v>720</v>
      </c>
      <c r="J11" s="26"/>
      <c r="K11" s="27">
        <v>10.69</v>
      </c>
      <c r="L11" s="27"/>
      <c r="M11" s="18"/>
      <c r="N11" s="19">
        <f t="shared" si="0"/>
        <v>13.255599999999999</v>
      </c>
    </row>
    <row r="12" spans="2:14" ht="25.5" x14ac:dyDescent="0.25">
      <c r="B12" s="20">
        <v>8</v>
      </c>
      <c r="C12" s="21" t="s">
        <v>733</v>
      </c>
      <c r="D12" s="22" t="s">
        <v>734</v>
      </c>
      <c r="E12" s="29">
        <v>1</v>
      </c>
      <c r="F12" s="24" t="s">
        <v>719</v>
      </c>
      <c r="G12" s="22" t="s">
        <v>720</v>
      </c>
      <c r="H12" s="25">
        <v>17.100000000000001</v>
      </c>
      <c r="I12" s="26" t="s">
        <v>720</v>
      </c>
      <c r="J12" s="26"/>
      <c r="K12" s="27">
        <v>17.100000000000001</v>
      </c>
      <c r="L12" s="27"/>
      <c r="M12" s="18"/>
      <c r="N12" s="19">
        <f t="shared" si="0"/>
        <v>21.204000000000001</v>
      </c>
    </row>
    <row r="13" spans="2:14" ht="38.25" x14ac:dyDescent="0.25">
      <c r="B13" s="20">
        <v>9</v>
      </c>
      <c r="C13" s="21" t="s">
        <v>735</v>
      </c>
      <c r="D13" s="22" t="s">
        <v>736</v>
      </c>
      <c r="E13" s="29">
        <v>1</v>
      </c>
      <c r="F13" s="24" t="s">
        <v>719</v>
      </c>
      <c r="G13" s="22" t="s">
        <v>720</v>
      </c>
      <c r="H13" s="25">
        <v>28.14</v>
      </c>
      <c r="I13" s="26" t="s">
        <v>720</v>
      </c>
      <c r="J13" s="26"/>
      <c r="K13" s="27">
        <v>28.14</v>
      </c>
      <c r="L13" s="27"/>
      <c r="M13" s="18"/>
      <c r="N13" s="19">
        <f t="shared" si="0"/>
        <v>34.893599999999999</v>
      </c>
    </row>
    <row r="14" spans="2:14" ht="38.25" x14ac:dyDescent="0.25">
      <c r="B14" s="20">
        <v>10</v>
      </c>
      <c r="C14" s="21" t="s">
        <v>737</v>
      </c>
      <c r="D14" s="22" t="s">
        <v>738</v>
      </c>
      <c r="E14" s="29">
        <v>1</v>
      </c>
      <c r="F14" s="24" t="s">
        <v>719</v>
      </c>
      <c r="G14" s="22" t="s">
        <v>720</v>
      </c>
      <c r="H14" s="25">
        <v>44</v>
      </c>
      <c r="I14" s="26" t="s">
        <v>720</v>
      </c>
      <c r="J14" s="26"/>
      <c r="K14" s="27">
        <v>44</v>
      </c>
      <c r="L14" s="27"/>
      <c r="M14" s="18"/>
      <c r="N14" s="19">
        <f t="shared" si="0"/>
        <v>54.56</v>
      </c>
    </row>
    <row r="15" spans="2:14" ht="51" x14ac:dyDescent="0.25">
      <c r="B15" s="20">
        <v>11</v>
      </c>
      <c r="C15" s="21" t="s">
        <v>739</v>
      </c>
      <c r="D15" s="22" t="s">
        <v>740</v>
      </c>
      <c r="E15" s="29">
        <v>1</v>
      </c>
      <c r="F15" s="24" t="s">
        <v>719</v>
      </c>
      <c r="G15" s="22" t="s">
        <v>720</v>
      </c>
      <c r="H15" s="25">
        <v>205</v>
      </c>
      <c r="I15" s="26" t="s">
        <v>720</v>
      </c>
      <c r="J15" s="26"/>
      <c r="K15" s="27">
        <v>205</v>
      </c>
      <c r="L15" s="27"/>
      <c r="M15" s="18"/>
      <c r="N15" s="19">
        <f t="shared" si="0"/>
        <v>254.2</v>
      </c>
    </row>
    <row r="16" spans="2:14" ht="63.75" x14ac:dyDescent="0.25">
      <c r="B16" s="20">
        <v>12</v>
      </c>
      <c r="C16" s="21" t="s">
        <v>741</v>
      </c>
      <c r="D16" s="30" t="s">
        <v>844</v>
      </c>
      <c r="E16" s="29">
        <v>1</v>
      </c>
      <c r="F16" s="24" t="s">
        <v>719</v>
      </c>
      <c r="G16" s="22" t="s">
        <v>720</v>
      </c>
      <c r="H16" s="25">
        <v>452.99</v>
      </c>
      <c r="I16" s="26" t="s">
        <v>720</v>
      </c>
      <c r="J16" s="26"/>
      <c r="K16" s="27">
        <v>452.99</v>
      </c>
      <c r="L16" s="27"/>
      <c r="M16" s="18"/>
      <c r="N16" s="19">
        <f t="shared" si="0"/>
        <v>561.70759999999996</v>
      </c>
    </row>
    <row r="17" spans="2:14" x14ac:dyDescent="0.25">
      <c r="B17" s="31"/>
      <c r="C17" s="31"/>
      <c r="D17" s="22" t="s">
        <v>742</v>
      </c>
      <c r="E17" s="31"/>
      <c r="F17" s="31"/>
      <c r="G17" s="31"/>
      <c r="H17" s="31"/>
      <c r="I17" s="32"/>
      <c r="J17" s="32"/>
      <c r="K17" s="32"/>
      <c r="L17" s="32"/>
      <c r="M17" s="18"/>
      <c r="N17" s="19">
        <f t="shared" si="0"/>
        <v>0</v>
      </c>
    </row>
    <row r="18" spans="2:14" ht="63.75" x14ac:dyDescent="0.25">
      <c r="B18" s="20">
        <v>13</v>
      </c>
      <c r="C18" s="21" t="s">
        <v>743</v>
      </c>
      <c r="D18" s="30" t="s">
        <v>845</v>
      </c>
      <c r="E18" s="29">
        <v>1</v>
      </c>
      <c r="F18" s="24" t="s">
        <v>719</v>
      </c>
      <c r="G18" s="22" t="s">
        <v>720</v>
      </c>
      <c r="H18" s="25">
        <v>491.54</v>
      </c>
      <c r="I18" s="26" t="s">
        <v>720</v>
      </c>
      <c r="J18" s="26"/>
      <c r="K18" s="27">
        <v>491.54</v>
      </c>
      <c r="L18" s="27"/>
      <c r="M18" s="18"/>
      <c r="N18" s="19">
        <f t="shared" si="0"/>
        <v>609.50959999999998</v>
      </c>
    </row>
    <row r="19" spans="2:14" ht="38.25" x14ac:dyDescent="0.25">
      <c r="B19" s="20">
        <v>14</v>
      </c>
      <c r="C19" s="21" t="s">
        <v>744</v>
      </c>
      <c r="D19" s="22" t="s">
        <v>745</v>
      </c>
      <c r="E19" s="29">
        <v>1</v>
      </c>
      <c r="F19" s="24" t="s">
        <v>719</v>
      </c>
      <c r="G19" s="22" t="s">
        <v>720</v>
      </c>
      <c r="H19" s="25">
        <v>102.46</v>
      </c>
      <c r="I19" s="26" t="s">
        <v>720</v>
      </c>
      <c r="J19" s="26"/>
      <c r="K19" s="27">
        <v>102.46</v>
      </c>
      <c r="L19" s="27"/>
      <c r="M19" s="18"/>
      <c r="N19" s="19">
        <f t="shared" si="0"/>
        <v>127.0504</v>
      </c>
    </row>
    <row r="20" spans="2:14" ht="51" x14ac:dyDescent="0.25">
      <c r="B20" s="20">
        <v>15</v>
      </c>
      <c r="C20" s="21" t="s">
        <v>746</v>
      </c>
      <c r="D20" s="22" t="s">
        <v>747</v>
      </c>
      <c r="E20" s="29">
        <v>1</v>
      </c>
      <c r="F20" s="24" t="s">
        <v>719</v>
      </c>
      <c r="G20" s="22" t="s">
        <v>720</v>
      </c>
      <c r="H20" s="25">
        <v>23.2</v>
      </c>
      <c r="I20" s="26" t="s">
        <v>720</v>
      </c>
      <c r="J20" s="26"/>
      <c r="K20" s="27">
        <v>23.2</v>
      </c>
      <c r="L20" s="27"/>
      <c r="M20" s="18"/>
      <c r="N20" s="19">
        <f t="shared" si="0"/>
        <v>28.768000000000001</v>
      </c>
    </row>
    <row r="21" spans="2:14" ht="51" x14ac:dyDescent="0.25">
      <c r="B21" s="20">
        <v>16</v>
      </c>
      <c r="C21" s="21" t="s">
        <v>748</v>
      </c>
      <c r="D21" s="30" t="s">
        <v>846</v>
      </c>
      <c r="E21" s="29">
        <v>1</v>
      </c>
      <c r="F21" s="24" t="s">
        <v>719</v>
      </c>
      <c r="G21" s="22" t="s">
        <v>720</v>
      </c>
      <c r="H21" s="25">
        <v>25.04</v>
      </c>
      <c r="I21" s="26" t="s">
        <v>720</v>
      </c>
      <c r="J21" s="26"/>
      <c r="K21" s="27">
        <v>25.04</v>
      </c>
      <c r="L21" s="27"/>
      <c r="M21" s="18"/>
      <c r="N21" s="19">
        <f t="shared" si="0"/>
        <v>31.049599999999998</v>
      </c>
    </row>
    <row r="22" spans="2:14" ht="38.25" x14ac:dyDescent="0.25">
      <c r="B22" s="20">
        <v>17</v>
      </c>
      <c r="C22" s="21" t="s">
        <v>749</v>
      </c>
      <c r="D22" s="22" t="s">
        <v>750</v>
      </c>
      <c r="E22" s="29">
        <v>1</v>
      </c>
      <c r="F22" s="24" t="s">
        <v>719</v>
      </c>
      <c r="G22" s="22" t="s">
        <v>720</v>
      </c>
      <c r="H22" s="25">
        <v>123.66</v>
      </c>
      <c r="I22" s="26" t="s">
        <v>720</v>
      </c>
      <c r="J22" s="26"/>
      <c r="K22" s="27">
        <v>123.66</v>
      </c>
      <c r="L22" s="27"/>
      <c r="M22" s="18"/>
      <c r="N22" s="19">
        <f t="shared" si="0"/>
        <v>153.33840000000001</v>
      </c>
    </row>
    <row r="23" spans="2:14" ht="38.25" x14ac:dyDescent="0.25">
      <c r="B23" s="20">
        <v>18</v>
      </c>
      <c r="C23" s="21" t="s">
        <v>751</v>
      </c>
      <c r="D23" s="22" t="s">
        <v>752</v>
      </c>
      <c r="E23" s="29">
        <v>1</v>
      </c>
      <c r="F23" s="24" t="s">
        <v>719</v>
      </c>
      <c r="G23" s="22" t="s">
        <v>720</v>
      </c>
      <c r="H23" s="25">
        <v>187.11</v>
      </c>
      <c r="I23" s="26" t="s">
        <v>720</v>
      </c>
      <c r="J23" s="26"/>
      <c r="K23" s="27">
        <v>187.11</v>
      </c>
      <c r="L23" s="27"/>
      <c r="M23" s="18"/>
      <c r="N23" s="19">
        <f t="shared" si="0"/>
        <v>232.0164</v>
      </c>
    </row>
    <row r="24" spans="2:14" ht="38.25" x14ac:dyDescent="0.25">
      <c r="B24" s="20">
        <v>19</v>
      </c>
      <c r="C24" s="21" t="s">
        <v>753</v>
      </c>
      <c r="D24" s="22" t="s">
        <v>754</v>
      </c>
      <c r="E24" s="29">
        <v>1</v>
      </c>
      <c r="F24" s="24" t="s">
        <v>719</v>
      </c>
      <c r="G24" s="22" t="s">
        <v>720</v>
      </c>
      <c r="H24" s="25">
        <v>266.52</v>
      </c>
      <c r="I24" s="26" t="s">
        <v>720</v>
      </c>
      <c r="J24" s="26"/>
      <c r="K24" s="27">
        <v>266.52</v>
      </c>
      <c r="L24" s="27"/>
      <c r="M24" s="18"/>
      <c r="N24" s="19">
        <f t="shared" si="0"/>
        <v>330.48479999999995</v>
      </c>
    </row>
    <row r="25" spans="2:14" ht="38.25" x14ac:dyDescent="0.25">
      <c r="B25" s="20">
        <v>20</v>
      </c>
      <c r="C25" s="21" t="s">
        <v>755</v>
      </c>
      <c r="D25" s="22" t="s">
        <v>756</v>
      </c>
      <c r="E25" s="29">
        <v>1</v>
      </c>
      <c r="F25" s="24" t="s">
        <v>719</v>
      </c>
      <c r="G25" s="22" t="s">
        <v>720</v>
      </c>
      <c r="H25" s="25">
        <v>307.60000000000002</v>
      </c>
      <c r="I25" s="26" t="s">
        <v>720</v>
      </c>
      <c r="J25" s="26"/>
      <c r="K25" s="27">
        <v>307.60000000000002</v>
      </c>
      <c r="L25" s="27"/>
      <c r="M25" s="18"/>
      <c r="N25" s="19">
        <f t="shared" si="0"/>
        <v>381.42400000000004</v>
      </c>
    </row>
    <row r="26" spans="2:14" ht="38.25" x14ac:dyDescent="0.25">
      <c r="B26" s="20">
        <v>21</v>
      </c>
      <c r="C26" s="21" t="s">
        <v>757</v>
      </c>
      <c r="D26" s="22" t="s">
        <v>758</v>
      </c>
      <c r="E26" s="29">
        <v>1</v>
      </c>
      <c r="F26" s="24" t="s">
        <v>719</v>
      </c>
      <c r="G26" s="22" t="s">
        <v>720</v>
      </c>
      <c r="H26" s="25">
        <v>44.49</v>
      </c>
      <c r="I26" s="26" t="s">
        <v>720</v>
      </c>
      <c r="J26" s="26"/>
      <c r="K26" s="27">
        <v>44.49</v>
      </c>
      <c r="L26" s="27"/>
      <c r="M26" s="18"/>
      <c r="N26" s="19">
        <f t="shared" si="0"/>
        <v>55.1676</v>
      </c>
    </row>
    <row r="27" spans="2:14" ht="38.25" x14ac:dyDescent="0.25">
      <c r="B27" s="20">
        <v>22</v>
      </c>
      <c r="C27" s="21" t="s">
        <v>759</v>
      </c>
      <c r="D27" s="22" t="s">
        <v>760</v>
      </c>
      <c r="E27" s="29">
        <v>1</v>
      </c>
      <c r="F27" s="24" t="s">
        <v>719</v>
      </c>
      <c r="G27" s="22" t="s">
        <v>720</v>
      </c>
      <c r="H27" s="25">
        <v>49.76</v>
      </c>
      <c r="I27" s="26" t="s">
        <v>720</v>
      </c>
      <c r="J27" s="26"/>
      <c r="K27" s="27">
        <v>49.76</v>
      </c>
      <c r="L27" s="27"/>
      <c r="M27" s="18"/>
      <c r="N27" s="19">
        <f t="shared" si="0"/>
        <v>61.702399999999997</v>
      </c>
    </row>
    <row r="28" spans="2:14" ht="38.25" x14ac:dyDescent="0.25">
      <c r="B28" s="20">
        <v>23</v>
      </c>
      <c r="C28" s="21" t="s">
        <v>761</v>
      </c>
      <c r="D28" s="22" t="s">
        <v>762</v>
      </c>
      <c r="E28" s="29">
        <v>1</v>
      </c>
      <c r="F28" s="24" t="s">
        <v>719</v>
      </c>
      <c r="G28" s="22" t="s">
        <v>720</v>
      </c>
      <c r="H28" s="25">
        <v>56.75</v>
      </c>
      <c r="I28" s="26" t="s">
        <v>720</v>
      </c>
      <c r="J28" s="26"/>
      <c r="K28" s="27">
        <v>56.75</v>
      </c>
      <c r="L28" s="27"/>
      <c r="M28" s="18"/>
      <c r="N28" s="19">
        <f t="shared" si="0"/>
        <v>70.37</v>
      </c>
    </row>
    <row r="29" spans="2:14" ht="45" x14ac:dyDescent="0.25">
      <c r="B29" s="33" t="s">
        <v>763</v>
      </c>
      <c r="C29" s="33" t="s">
        <v>764</v>
      </c>
      <c r="D29" s="34" t="s">
        <v>765</v>
      </c>
      <c r="E29" s="33" t="s">
        <v>766</v>
      </c>
      <c r="F29" s="33" t="s">
        <v>767</v>
      </c>
      <c r="G29" s="35" t="s">
        <v>711</v>
      </c>
      <c r="H29" s="35"/>
      <c r="I29" s="36" t="s">
        <v>768</v>
      </c>
      <c r="J29" s="36"/>
      <c r="K29" s="36"/>
      <c r="L29" s="37" t="s">
        <v>769</v>
      </c>
      <c r="M29" s="18"/>
      <c r="N29" s="19">
        <f t="shared" si="0"/>
        <v>0</v>
      </c>
    </row>
    <row r="30" spans="2:14" ht="38.25" x14ac:dyDescent="0.25">
      <c r="B30" s="20">
        <v>24</v>
      </c>
      <c r="C30" s="21" t="s">
        <v>770</v>
      </c>
      <c r="D30" s="22" t="s">
        <v>771</v>
      </c>
      <c r="E30" s="38">
        <v>1</v>
      </c>
      <c r="F30" s="21" t="s">
        <v>719</v>
      </c>
      <c r="G30" s="39">
        <v>65.010000000000005</v>
      </c>
      <c r="H30" s="39">
        <v>65.010000000000005</v>
      </c>
      <c r="I30" s="26" t="s">
        <v>720</v>
      </c>
      <c r="J30" s="26"/>
      <c r="K30" s="26"/>
      <c r="L30" s="39"/>
      <c r="M30" s="18"/>
      <c r="N30" s="19">
        <f t="shared" si="0"/>
        <v>80.612400000000008</v>
      </c>
    </row>
    <row r="31" spans="2:14" ht="38.25" x14ac:dyDescent="0.25">
      <c r="B31" s="20">
        <v>25</v>
      </c>
      <c r="C31" s="21" t="s">
        <v>772</v>
      </c>
      <c r="D31" s="22" t="s">
        <v>773</v>
      </c>
      <c r="E31" s="38">
        <v>1</v>
      </c>
      <c r="F31" s="21" t="s">
        <v>719</v>
      </c>
      <c r="G31" s="39">
        <v>75.27</v>
      </c>
      <c r="H31" s="39">
        <v>75.27</v>
      </c>
      <c r="I31" s="26" t="s">
        <v>720</v>
      </c>
      <c r="J31" s="26"/>
      <c r="K31" s="26"/>
      <c r="L31" s="39"/>
      <c r="M31" s="18"/>
      <c r="N31" s="19">
        <f t="shared" si="0"/>
        <v>93.334800000000001</v>
      </c>
    </row>
    <row r="32" spans="2:14" ht="38.25" x14ac:dyDescent="0.25">
      <c r="B32" s="20">
        <v>26</v>
      </c>
      <c r="C32" s="21" t="s">
        <v>774</v>
      </c>
      <c r="D32" s="22" t="s">
        <v>775</v>
      </c>
      <c r="E32" s="38">
        <v>1</v>
      </c>
      <c r="F32" s="21" t="s">
        <v>719</v>
      </c>
      <c r="G32" s="39">
        <v>92.19</v>
      </c>
      <c r="H32" s="39">
        <v>92.19</v>
      </c>
      <c r="I32" s="26" t="s">
        <v>720</v>
      </c>
      <c r="J32" s="26"/>
      <c r="K32" s="26"/>
      <c r="L32" s="39"/>
      <c r="M32" s="18"/>
      <c r="N32" s="19">
        <f t="shared" si="0"/>
        <v>114.3156</v>
      </c>
    </row>
    <row r="33" spans="2:14" ht="51" x14ac:dyDescent="0.25">
      <c r="B33" s="20">
        <v>27</v>
      </c>
      <c r="C33" s="21" t="s">
        <v>776</v>
      </c>
      <c r="D33" s="22" t="s">
        <v>777</v>
      </c>
      <c r="E33" s="38">
        <v>1</v>
      </c>
      <c r="F33" s="21" t="s">
        <v>719</v>
      </c>
      <c r="G33" s="39">
        <v>7.36</v>
      </c>
      <c r="H33" s="39">
        <v>7.36</v>
      </c>
      <c r="I33" s="26" t="s">
        <v>720</v>
      </c>
      <c r="J33" s="26"/>
      <c r="K33" s="26"/>
      <c r="L33" s="39"/>
      <c r="M33" s="18"/>
      <c r="N33" s="19">
        <f t="shared" si="0"/>
        <v>9.1264000000000003</v>
      </c>
    </row>
    <row r="34" spans="2:14" ht="38.25" x14ac:dyDescent="0.25">
      <c r="B34" s="20">
        <v>28</v>
      </c>
      <c r="C34" s="21" t="s">
        <v>778</v>
      </c>
      <c r="D34" s="22" t="s">
        <v>779</v>
      </c>
      <c r="E34" s="38">
        <v>1</v>
      </c>
      <c r="F34" s="21" t="s">
        <v>719</v>
      </c>
      <c r="G34" s="39">
        <v>60.26</v>
      </c>
      <c r="H34" s="39">
        <v>60.26</v>
      </c>
      <c r="I34" s="26" t="s">
        <v>720</v>
      </c>
      <c r="J34" s="26"/>
      <c r="K34" s="26"/>
      <c r="L34" s="39"/>
      <c r="M34" s="18"/>
      <c r="N34" s="19">
        <f t="shared" si="0"/>
        <v>74.722399999999993</v>
      </c>
    </row>
    <row r="35" spans="2:14" ht="63.75" x14ac:dyDescent="0.25">
      <c r="B35" s="20">
        <v>29</v>
      </c>
      <c r="C35" s="21" t="s">
        <v>780</v>
      </c>
      <c r="D35" s="30" t="s">
        <v>847</v>
      </c>
      <c r="E35" s="38">
        <v>1</v>
      </c>
      <c r="F35" s="21" t="s">
        <v>719</v>
      </c>
      <c r="G35" s="39">
        <v>97.82</v>
      </c>
      <c r="H35" s="39">
        <v>97.82</v>
      </c>
      <c r="I35" s="26" t="s">
        <v>720</v>
      </c>
      <c r="J35" s="26"/>
      <c r="K35" s="26"/>
      <c r="L35" s="39"/>
      <c r="M35" s="18"/>
      <c r="N35" s="19">
        <f t="shared" si="0"/>
        <v>121.29679999999999</v>
      </c>
    </row>
    <row r="36" spans="2:14" ht="25.5" x14ac:dyDescent="0.25">
      <c r="B36" s="31"/>
      <c r="C36" s="31"/>
      <c r="D36" s="22" t="s">
        <v>781</v>
      </c>
      <c r="E36" s="31"/>
      <c r="F36" s="31"/>
      <c r="G36" s="31"/>
      <c r="H36" s="31"/>
      <c r="I36" s="32"/>
      <c r="J36" s="32"/>
      <c r="K36" s="32"/>
      <c r="L36" s="31"/>
      <c r="M36" s="18"/>
      <c r="N36" s="19">
        <f t="shared" si="0"/>
        <v>0</v>
      </c>
    </row>
    <row r="37" spans="2:14" ht="38.25" x14ac:dyDescent="0.25">
      <c r="B37" s="20">
        <v>30</v>
      </c>
      <c r="C37" s="21" t="s">
        <v>782</v>
      </c>
      <c r="D37" s="22" t="s">
        <v>783</v>
      </c>
      <c r="E37" s="38">
        <v>1</v>
      </c>
      <c r="F37" s="21" t="s">
        <v>719</v>
      </c>
      <c r="G37" s="39">
        <v>234.14</v>
      </c>
      <c r="H37" s="39">
        <v>234.14</v>
      </c>
      <c r="I37" s="26" t="s">
        <v>720</v>
      </c>
      <c r="J37" s="26"/>
      <c r="K37" s="26"/>
      <c r="L37" s="39"/>
      <c r="M37" s="18"/>
      <c r="N37" s="19">
        <f t="shared" si="0"/>
        <v>290.33359999999999</v>
      </c>
    </row>
    <row r="38" spans="2:14" ht="63.75" x14ac:dyDescent="0.25">
      <c r="B38" s="20">
        <v>31</v>
      </c>
      <c r="C38" s="21" t="s">
        <v>784</v>
      </c>
      <c r="D38" s="30" t="s">
        <v>848</v>
      </c>
      <c r="E38" s="38">
        <v>1</v>
      </c>
      <c r="F38" s="21" t="s">
        <v>719</v>
      </c>
      <c r="G38" s="39">
        <v>151.88999999999999</v>
      </c>
      <c r="H38" s="39">
        <v>151.88999999999999</v>
      </c>
      <c r="I38" s="26" t="s">
        <v>720</v>
      </c>
      <c r="J38" s="26"/>
      <c r="K38" s="26"/>
      <c r="L38" s="39"/>
      <c r="M38" s="18"/>
      <c r="N38" s="19">
        <f t="shared" si="0"/>
        <v>188.34359999999998</v>
      </c>
    </row>
    <row r="39" spans="2:14" x14ac:dyDescent="0.25">
      <c r="B39" s="40"/>
      <c r="C39" s="40"/>
      <c r="D39" s="22" t="s">
        <v>785</v>
      </c>
      <c r="E39" s="40"/>
      <c r="F39" s="40"/>
      <c r="G39" s="40"/>
      <c r="H39" s="40"/>
      <c r="I39" s="41"/>
      <c r="J39" s="41"/>
      <c r="K39" s="41"/>
      <c r="L39" s="40"/>
      <c r="M39" s="18"/>
      <c r="N39" s="19">
        <f t="shared" si="0"/>
        <v>0</v>
      </c>
    </row>
    <row r="40" spans="2:14" ht="38.25" x14ac:dyDescent="0.25">
      <c r="B40" s="20">
        <v>32</v>
      </c>
      <c r="C40" s="21" t="s">
        <v>786</v>
      </c>
      <c r="D40" s="22" t="s">
        <v>787</v>
      </c>
      <c r="E40" s="38">
        <v>1</v>
      </c>
      <c r="F40" s="21" t="s">
        <v>719</v>
      </c>
      <c r="G40" s="39">
        <v>1.72</v>
      </c>
      <c r="H40" s="39">
        <v>1.72</v>
      </c>
      <c r="I40" s="26" t="s">
        <v>720</v>
      </c>
      <c r="J40" s="26"/>
      <c r="K40" s="26"/>
      <c r="L40" s="39"/>
      <c r="M40" s="18"/>
      <c r="N40" s="19">
        <f t="shared" si="0"/>
        <v>2.1328</v>
      </c>
    </row>
    <row r="41" spans="2:14" ht="38.25" x14ac:dyDescent="0.25">
      <c r="B41" s="20">
        <v>33</v>
      </c>
      <c r="C41" s="21" t="s">
        <v>788</v>
      </c>
      <c r="D41" s="22" t="s">
        <v>789</v>
      </c>
      <c r="E41" s="38">
        <v>1</v>
      </c>
      <c r="F41" s="21" t="s">
        <v>719</v>
      </c>
      <c r="G41" s="39">
        <v>3.3</v>
      </c>
      <c r="H41" s="39">
        <v>3.3</v>
      </c>
      <c r="I41" s="26" t="s">
        <v>720</v>
      </c>
      <c r="J41" s="26"/>
      <c r="K41" s="26"/>
      <c r="L41" s="39"/>
      <c r="M41" s="18"/>
      <c r="N41" s="19">
        <f t="shared" si="0"/>
        <v>4.0919999999999996</v>
      </c>
    </row>
    <row r="42" spans="2:14" ht="25.5" x14ac:dyDescent="0.25">
      <c r="B42" s="20">
        <v>34</v>
      </c>
      <c r="C42" s="21" t="s">
        <v>790</v>
      </c>
      <c r="D42" s="22" t="s">
        <v>791</v>
      </c>
      <c r="E42" s="38">
        <v>1</v>
      </c>
      <c r="F42" s="21" t="s">
        <v>719</v>
      </c>
      <c r="G42" s="39">
        <v>6.14</v>
      </c>
      <c r="H42" s="39">
        <v>6.14</v>
      </c>
      <c r="I42" s="26" t="s">
        <v>720</v>
      </c>
      <c r="J42" s="26"/>
      <c r="K42" s="26"/>
      <c r="L42" s="39"/>
      <c r="M42" s="18"/>
      <c r="N42" s="19">
        <f t="shared" si="0"/>
        <v>7.6135999999999999</v>
      </c>
    </row>
    <row r="43" spans="2:14" ht="38.25" x14ac:dyDescent="0.25">
      <c r="B43" s="20">
        <v>35</v>
      </c>
      <c r="C43" s="21" t="s">
        <v>792</v>
      </c>
      <c r="D43" s="22" t="s">
        <v>793</v>
      </c>
      <c r="E43" s="38">
        <v>1</v>
      </c>
      <c r="F43" s="21" t="s">
        <v>719</v>
      </c>
      <c r="G43" s="39">
        <v>4.2699999999999996</v>
      </c>
      <c r="H43" s="39">
        <v>4.2699999999999996</v>
      </c>
      <c r="I43" s="26" t="s">
        <v>720</v>
      </c>
      <c r="J43" s="26"/>
      <c r="K43" s="26"/>
      <c r="L43" s="39"/>
      <c r="M43" s="18"/>
      <c r="N43" s="19">
        <f t="shared" si="0"/>
        <v>5.2947999999999995</v>
      </c>
    </row>
    <row r="44" spans="2:14" ht="25.5" x14ac:dyDescent="0.25">
      <c r="B44" s="20">
        <v>36</v>
      </c>
      <c r="C44" s="21" t="s">
        <v>794</v>
      </c>
      <c r="D44" s="22" t="s">
        <v>795</v>
      </c>
      <c r="E44" s="38">
        <v>1</v>
      </c>
      <c r="F44" s="21" t="s">
        <v>719</v>
      </c>
      <c r="G44" s="39">
        <v>9.83</v>
      </c>
      <c r="H44" s="39">
        <v>9.83</v>
      </c>
      <c r="I44" s="26" t="s">
        <v>720</v>
      </c>
      <c r="J44" s="26"/>
      <c r="K44" s="26"/>
      <c r="L44" s="39"/>
      <c r="M44" s="18"/>
      <c r="N44" s="19">
        <f t="shared" si="0"/>
        <v>12.1892</v>
      </c>
    </row>
    <row r="45" spans="2:14" ht="38.25" x14ac:dyDescent="0.25">
      <c r="B45" s="20">
        <v>37</v>
      </c>
      <c r="C45" s="21" t="s">
        <v>796</v>
      </c>
      <c r="D45" s="22" t="s">
        <v>797</v>
      </c>
      <c r="E45" s="38">
        <v>1</v>
      </c>
      <c r="F45" s="21" t="s">
        <v>719</v>
      </c>
      <c r="G45" s="39">
        <v>6.65</v>
      </c>
      <c r="H45" s="39">
        <v>6.65</v>
      </c>
      <c r="I45" s="26" t="s">
        <v>720</v>
      </c>
      <c r="J45" s="26"/>
      <c r="K45" s="26"/>
      <c r="L45" s="39"/>
      <c r="M45" s="18"/>
      <c r="N45" s="19">
        <f t="shared" si="0"/>
        <v>8.2460000000000004</v>
      </c>
    </row>
    <row r="46" spans="2:14" ht="38.25" x14ac:dyDescent="0.25">
      <c r="B46" s="20">
        <v>38</v>
      </c>
      <c r="C46" s="21" t="s">
        <v>798</v>
      </c>
      <c r="D46" s="22" t="s">
        <v>799</v>
      </c>
      <c r="E46" s="38">
        <v>1</v>
      </c>
      <c r="F46" s="21" t="s">
        <v>719</v>
      </c>
      <c r="G46" s="39">
        <v>35.54</v>
      </c>
      <c r="H46" s="39">
        <v>35.54</v>
      </c>
      <c r="I46" s="26" t="s">
        <v>720</v>
      </c>
      <c r="J46" s="26"/>
      <c r="K46" s="26"/>
      <c r="L46" s="39"/>
      <c r="M46" s="18"/>
      <c r="N46" s="19">
        <f t="shared" si="0"/>
        <v>44.069600000000001</v>
      </c>
    </row>
    <row r="47" spans="2:14" ht="51" x14ac:dyDescent="0.25">
      <c r="B47" s="20">
        <v>39</v>
      </c>
      <c r="C47" s="21" t="s">
        <v>800</v>
      </c>
      <c r="D47" s="22" t="s">
        <v>801</v>
      </c>
      <c r="E47" s="38">
        <v>1</v>
      </c>
      <c r="F47" s="21" t="s">
        <v>719</v>
      </c>
      <c r="G47" s="39">
        <v>44.21</v>
      </c>
      <c r="H47" s="39">
        <v>44.21</v>
      </c>
      <c r="I47" s="26" t="s">
        <v>720</v>
      </c>
      <c r="J47" s="26"/>
      <c r="K47" s="26"/>
      <c r="L47" s="39"/>
      <c r="M47" s="18"/>
      <c r="N47" s="19">
        <f t="shared" si="0"/>
        <v>54.820399999999999</v>
      </c>
    </row>
    <row r="48" spans="2:14" ht="38.25" x14ac:dyDescent="0.25">
      <c r="B48" s="20">
        <v>40</v>
      </c>
      <c r="C48" s="21" t="s">
        <v>802</v>
      </c>
      <c r="D48" s="22" t="s">
        <v>803</v>
      </c>
      <c r="E48" s="38">
        <v>1</v>
      </c>
      <c r="F48" s="21" t="s">
        <v>719</v>
      </c>
      <c r="G48" s="39">
        <v>45.2</v>
      </c>
      <c r="H48" s="39">
        <v>45.2</v>
      </c>
      <c r="I48" s="26" t="s">
        <v>720</v>
      </c>
      <c r="J48" s="26"/>
      <c r="K48" s="26"/>
      <c r="L48" s="39"/>
      <c r="M48" s="18"/>
      <c r="N48" s="19">
        <f t="shared" si="0"/>
        <v>56.048000000000002</v>
      </c>
    </row>
    <row r="49" spans="2:14" ht="38.25" x14ac:dyDescent="0.25">
      <c r="B49" s="20">
        <v>41</v>
      </c>
      <c r="C49" s="21" t="s">
        <v>804</v>
      </c>
      <c r="D49" s="22" t="s">
        <v>805</v>
      </c>
      <c r="E49" s="38">
        <v>1</v>
      </c>
      <c r="F49" s="21" t="s">
        <v>719</v>
      </c>
      <c r="G49" s="39">
        <v>11.24</v>
      </c>
      <c r="H49" s="39">
        <v>11.24</v>
      </c>
      <c r="I49" s="26" t="s">
        <v>720</v>
      </c>
      <c r="J49" s="26"/>
      <c r="K49" s="26"/>
      <c r="L49" s="39"/>
      <c r="M49" s="18"/>
      <c r="N49" s="19">
        <f t="shared" si="0"/>
        <v>13.9376</v>
      </c>
    </row>
    <row r="50" spans="2:14" ht="38.25" x14ac:dyDescent="0.25">
      <c r="B50" s="20">
        <v>42</v>
      </c>
      <c r="C50" s="21" t="s">
        <v>806</v>
      </c>
      <c r="D50" s="22" t="s">
        <v>807</v>
      </c>
      <c r="E50" s="38">
        <v>1</v>
      </c>
      <c r="F50" s="21" t="s">
        <v>719</v>
      </c>
      <c r="G50" s="39">
        <v>17.14</v>
      </c>
      <c r="H50" s="39">
        <v>17.14</v>
      </c>
      <c r="I50" s="26" t="s">
        <v>720</v>
      </c>
      <c r="J50" s="26"/>
      <c r="K50" s="26"/>
      <c r="L50" s="39"/>
      <c r="M50" s="18"/>
      <c r="N50" s="19">
        <f t="shared" si="0"/>
        <v>21.253600000000002</v>
      </c>
    </row>
    <row r="51" spans="2:14" ht="38.25" x14ac:dyDescent="0.25">
      <c r="B51" s="20">
        <v>43</v>
      </c>
      <c r="C51" s="21" t="s">
        <v>808</v>
      </c>
      <c r="D51" s="22" t="s">
        <v>809</v>
      </c>
      <c r="E51" s="38">
        <v>1</v>
      </c>
      <c r="F51" s="21" t="s">
        <v>719</v>
      </c>
      <c r="G51" s="39">
        <v>20.32</v>
      </c>
      <c r="H51" s="39">
        <v>20.32</v>
      </c>
      <c r="I51" s="26" t="s">
        <v>720</v>
      </c>
      <c r="J51" s="26"/>
      <c r="K51" s="26"/>
      <c r="L51" s="39"/>
      <c r="M51" s="18"/>
      <c r="N51" s="19">
        <f t="shared" si="0"/>
        <v>25.1968</v>
      </c>
    </row>
    <row r="52" spans="2:14" ht="38.25" x14ac:dyDescent="0.25">
      <c r="B52" s="20">
        <v>44</v>
      </c>
      <c r="C52" s="21" t="s">
        <v>810</v>
      </c>
      <c r="D52" s="22" t="s">
        <v>811</v>
      </c>
      <c r="E52" s="38">
        <v>1</v>
      </c>
      <c r="F52" s="21" t="s">
        <v>719</v>
      </c>
      <c r="G52" s="39">
        <v>24.84</v>
      </c>
      <c r="H52" s="39">
        <v>24.84</v>
      </c>
      <c r="I52" s="26" t="s">
        <v>720</v>
      </c>
      <c r="J52" s="26"/>
      <c r="K52" s="26"/>
      <c r="L52" s="39"/>
      <c r="M52" s="18"/>
      <c r="N52" s="19">
        <f t="shared" si="0"/>
        <v>30.801600000000001</v>
      </c>
    </row>
    <row r="53" spans="2:14" ht="38.25" x14ac:dyDescent="0.25">
      <c r="B53" s="20">
        <v>45</v>
      </c>
      <c r="C53" s="21" t="s">
        <v>812</v>
      </c>
      <c r="D53" s="22" t="s">
        <v>813</v>
      </c>
      <c r="E53" s="38">
        <v>1</v>
      </c>
      <c r="F53" s="21" t="s">
        <v>719</v>
      </c>
      <c r="G53" s="39">
        <v>7.96</v>
      </c>
      <c r="H53" s="39">
        <v>7.96</v>
      </c>
      <c r="I53" s="26" t="s">
        <v>720</v>
      </c>
      <c r="J53" s="26"/>
      <c r="K53" s="26"/>
      <c r="L53" s="39"/>
      <c r="M53" s="18"/>
      <c r="N53" s="19">
        <f t="shared" si="0"/>
        <v>9.8704000000000001</v>
      </c>
    </row>
    <row r="54" spans="2:14" ht="38.25" x14ac:dyDescent="0.25">
      <c r="B54" s="20">
        <v>46</v>
      </c>
      <c r="C54" s="21" t="s">
        <v>814</v>
      </c>
      <c r="D54" s="22" t="s">
        <v>815</v>
      </c>
      <c r="E54" s="38">
        <v>1</v>
      </c>
      <c r="F54" s="21" t="s">
        <v>719</v>
      </c>
      <c r="G54" s="39">
        <v>5.17</v>
      </c>
      <c r="H54" s="39">
        <v>5.17</v>
      </c>
      <c r="I54" s="26" t="s">
        <v>720</v>
      </c>
      <c r="J54" s="26"/>
      <c r="K54" s="26"/>
      <c r="L54" s="39"/>
      <c r="M54" s="18"/>
      <c r="N54" s="19">
        <f t="shared" si="0"/>
        <v>6.4108000000000001</v>
      </c>
    </row>
    <row r="55" spans="2:14" ht="38.25" x14ac:dyDescent="0.25">
      <c r="B55" s="20">
        <v>47</v>
      </c>
      <c r="C55" s="21" t="s">
        <v>816</v>
      </c>
      <c r="D55" s="22" t="s">
        <v>817</v>
      </c>
      <c r="E55" s="38">
        <v>1</v>
      </c>
      <c r="F55" s="21" t="s">
        <v>719</v>
      </c>
      <c r="G55" s="39">
        <v>6.24</v>
      </c>
      <c r="H55" s="39">
        <v>6.24</v>
      </c>
      <c r="I55" s="26" t="s">
        <v>720</v>
      </c>
      <c r="J55" s="26"/>
      <c r="K55" s="26"/>
      <c r="L55" s="39"/>
      <c r="M55" s="18"/>
      <c r="N55" s="19">
        <f t="shared" si="0"/>
        <v>7.7376000000000005</v>
      </c>
    </row>
    <row r="56" spans="2:14" ht="38.25" x14ac:dyDescent="0.25">
      <c r="B56" s="20">
        <v>48</v>
      </c>
      <c r="C56" s="21" t="s">
        <v>818</v>
      </c>
      <c r="D56" s="22" t="s">
        <v>819</v>
      </c>
      <c r="E56" s="38">
        <v>1</v>
      </c>
      <c r="F56" s="21" t="s">
        <v>719</v>
      </c>
      <c r="G56" s="39">
        <v>10.23</v>
      </c>
      <c r="H56" s="39">
        <v>10.23</v>
      </c>
      <c r="I56" s="26" t="s">
        <v>720</v>
      </c>
      <c r="J56" s="26"/>
      <c r="K56" s="26"/>
      <c r="L56" s="39"/>
      <c r="M56" s="18"/>
      <c r="N56" s="19">
        <f t="shared" si="0"/>
        <v>12.6852</v>
      </c>
    </row>
    <row r="57" spans="2:14" ht="38.25" x14ac:dyDescent="0.25">
      <c r="B57" s="20">
        <v>49</v>
      </c>
      <c r="C57" s="21" t="s">
        <v>820</v>
      </c>
      <c r="D57" s="22" t="s">
        <v>821</v>
      </c>
      <c r="E57" s="38">
        <v>1</v>
      </c>
      <c r="F57" s="21" t="s">
        <v>719</v>
      </c>
      <c r="G57" s="39">
        <v>13.89</v>
      </c>
      <c r="H57" s="39">
        <v>13.89</v>
      </c>
      <c r="I57" s="26" t="s">
        <v>720</v>
      </c>
      <c r="J57" s="26"/>
      <c r="K57" s="26"/>
      <c r="L57" s="39"/>
      <c r="M57" s="18"/>
      <c r="N57" s="19">
        <f t="shared" si="0"/>
        <v>17.223600000000001</v>
      </c>
    </row>
    <row r="58" spans="2:14" ht="38.25" x14ac:dyDescent="0.25">
      <c r="B58" s="20">
        <v>50</v>
      </c>
      <c r="C58" s="21" t="s">
        <v>822</v>
      </c>
      <c r="D58" s="22" t="s">
        <v>823</v>
      </c>
      <c r="E58" s="38">
        <v>1</v>
      </c>
      <c r="F58" s="21" t="s">
        <v>719</v>
      </c>
      <c r="G58" s="39">
        <v>25.65</v>
      </c>
      <c r="H58" s="39">
        <v>25.65</v>
      </c>
      <c r="I58" s="26" t="s">
        <v>720</v>
      </c>
      <c r="J58" s="26"/>
      <c r="K58" s="26"/>
      <c r="L58" s="39"/>
      <c r="M58" s="18"/>
      <c r="N58" s="19">
        <f t="shared" si="0"/>
        <v>31.805999999999997</v>
      </c>
    </row>
    <row r="59" spans="2:14" ht="38.25" x14ac:dyDescent="0.25">
      <c r="B59" s="20">
        <v>51</v>
      </c>
      <c r="C59" s="21" t="s">
        <v>824</v>
      </c>
      <c r="D59" s="22" t="s">
        <v>825</v>
      </c>
      <c r="E59" s="38">
        <v>1</v>
      </c>
      <c r="F59" s="21" t="s">
        <v>719</v>
      </c>
      <c r="G59" s="39">
        <v>34.770000000000003</v>
      </c>
      <c r="H59" s="39">
        <v>34.770000000000003</v>
      </c>
      <c r="I59" s="26" t="s">
        <v>720</v>
      </c>
      <c r="J59" s="26"/>
      <c r="K59" s="26"/>
      <c r="L59" s="39"/>
      <c r="M59" s="18"/>
      <c r="N59" s="19">
        <f t="shared" si="0"/>
        <v>43.114800000000002</v>
      </c>
    </row>
    <row r="60" spans="2:14" ht="38.25" x14ac:dyDescent="0.25">
      <c r="B60" s="20">
        <v>52</v>
      </c>
      <c r="C60" s="21" t="s">
        <v>826</v>
      </c>
      <c r="D60" s="22" t="s">
        <v>827</v>
      </c>
      <c r="E60" s="38">
        <v>1</v>
      </c>
      <c r="F60" s="21" t="s">
        <v>719</v>
      </c>
      <c r="G60" s="39">
        <v>43.73</v>
      </c>
      <c r="H60" s="39">
        <v>43.73</v>
      </c>
      <c r="I60" s="26" t="s">
        <v>720</v>
      </c>
      <c r="J60" s="26"/>
      <c r="K60" s="26"/>
      <c r="L60" s="39"/>
      <c r="M60" s="18"/>
      <c r="N60" s="19">
        <f t="shared" si="0"/>
        <v>54.225199999999994</v>
      </c>
    </row>
    <row r="61" spans="2:14" ht="51" x14ac:dyDescent="0.25">
      <c r="B61" s="20">
        <v>53</v>
      </c>
      <c r="C61" s="21" t="s">
        <v>828</v>
      </c>
      <c r="D61" s="30" t="s">
        <v>849</v>
      </c>
      <c r="E61" s="38">
        <v>1</v>
      </c>
      <c r="F61" s="21" t="s">
        <v>719</v>
      </c>
      <c r="G61" s="39">
        <v>53.34</v>
      </c>
      <c r="H61" s="39">
        <v>53.34</v>
      </c>
      <c r="I61" s="26" t="s">
        <v>720</v>
      </c>
      <c r="J61" s="26"/>
      <c r="K61" s="26"/>
      <c r="L61" s="39"/>
      <c r="M61" s="18"/>
      <c r="N61" s="19">
        <f t="shared" si="0"/>
        <v>66.141599999999997</v>
      </c>
    </row>
    <row r="62" spans="2:14" x14ac:dyDescent="0.25">
      <c r="B62" s="40"/>
      <c r="C62" s="40"/>
      <c r="D62" s="22" t="s">
        <v>829</v>
      </c>
      <c r="E62" s="40"/>
      <c r="F62" s="40"/>
      <c r="G62" s="40"/>
      <c r="H62" s="40"/>
      <c r="I62" s="41"/>
      <c r="J62" s="41"/>
      <c r="K62" s="41"/>
      <c r="L62" s="40"/>
      <c r="M62" s="18"/>
      <c r="N62" s="19">
        <f t="shared" si="0"/>
        <v>0</v>
      </c>
    </row>
    <row r="63" spans="2:14" ht="38.25" x14ac:dyDescent="0.25">
      <c r="B63" s="20">
        <v>54</v>
      </c>
      <c r="C63" s="21" t="s">
        <v>830</v>
      </c>
      <c r="D63" s="22" t="s">
        <v>831</v>
      </c>
      <c r="E63" s="38">
        <v>1</v>
      </c>
      <c r="F63" s="21" t="s">
        <v>719</v>
      </c>
      <c r="G63" s="39">
        <v>23.43</v>
      </c>
      <c r="H63" s="39">
        <v>23.43</v>
      </c>
      <c r="I63" s="26" t="s">
        <v>720</v>
      </c>
      <c r="J63" s="26"/>
      <c r="K63" s="26"/>
      <c r="L63" s="39"/>
      <c r="M63" s="18"/>
      <c r="N63" s="19">
        <f t="shared" si="0"/>
        <v>29.0532</v>
      </c>
    </row>
    <row r="64" spans="2:14" ht="38.25" x14ac:dyDescent="0.25">
      <c r="B64" s="20">
        <v>55</v>
      </c>
      <c r="C64" s="21" t="s">
        <v>832</v>
      </c>
      <c r="D64" s="22" t="s">
        <v>833</v>
      </c>
      <c r="E64" s="38">
        <v>1</v>
      </c>
      <c r="F64" s="21" t="s">
        <v>719</v>
      </c>
      <c r="G64" s="39">
        <v>26.15</v>
      </c>
      <c r="H64" s="39">
        <v>26.15</v>
      </c>
      <c r="I64" s="26" t="s">
        <v>720</v>
      </c>
      <c r="J64" s="26"/>
      <c r="K64" s="26"/>
      <c r="L64" s="39"/>
      <c r="M64" s="18"/>
      <c r="N64" s="19">
        <f t="shared" si="0"/>
        <v>32.425999999999995</v>
      </c>
    </row>
    <row r="65" spans="2:14" ht="38.25" x14ac:dyDescent="0.25">
      <c r="B65" s="20">
        <v>56</v>
      </c>
      <c r="C65" s="21" t="s">
        <v>834</v>
      </c>
      <c r="D65" s="22" t="s">
        <v>835</v>
      </c>
      <c r="E65" s="38">
        <v>1</v>
      </c>
      <c r="F65" s="21" t="s">
        <v>719</v>
      </c>
      <c r="G65" s="39">
        <v>35.340000000000003</v>
      </c>
      <c r="H65" s="39">
        <v>35.340000000000003</v>
      </c>
      <c r="I65" s="26" t="s">
        <v>720</v>
      </c>
      <c r="J65" s="26"/>
      <c r="K65" s="26"/>
      <c r="L65" s="39"/>
      <c r="M65" s="18"/>
      <c r="N65" s="19">
        <f t="shared" si="0"/>
        <v>43.821600000000004</v>
      </c>
    </row>
    <row r="66" spans="2:14" ht="38.25" x14ac:dyDescent="0.25">
      <c r="B66" s="20">
        <v>57</v>
      </c>
      <c r="C66" s="21" t="s">
        <v>836</v>
      </c>
      <c r="D66" s="22" t="s">
        <v>837</v>
      </c>
      <c r="E66" s="38">
        <v>1</v>
      </c>
      <c r="F66" s="21" t="s">
        <v>719</v>
      </c>
      <c r="G66" s="39">
        <v>61.81</v>
      </c>
      <c r="H66" s="39">
        <v>61.81</v>
      </c>
      <c r="I66" s="26" t="s">
        <v>720</v>
      </c>
      <c r="J66" s="26"/>
      <c r="K66" s="26"/>
      <c r="L66" s="39"/>
      <c r="M66" s="18"/>
      <c r="N66" s="19">
        <f>(H66*1.5)</f>
        <v>92.715000000000003</v>
      </c>
    </row>
    <row r="67" spans="2:14" ht="38.25" x14ac:dyDescent="0.25">
      <c r="B67" s="20">
        <v>58</v>
      </c>
      <c r="C67" s="21" t="s">
        <v>838</v>
      </c>
      <c r="D67" s="22" t="s">
        <v>839</v>
      </c>
      <c r="E67" s="38">
        <v>1</v>
      </c>
      <c r="F67" s="21" t="s">
        <v>719</v>
      </c>
      <c r="G67" s="39">
        <v>110.76</v>
      </c>
      <c r="H67" s="39">
        <v>110.76</v>
      </c>
      <c r="I67" s="26" t="s">
        <v>720</v>
      </c>
      <c r="J67" s="26"/>
      <c r="K67" s="26"/>
      <c r="L67" s="39"/>
      <c r="M67" s="18"/>
      <c r="N67" s="19">
        <f t="shared" ref="N67:N69" si="1">(H67*1.5)</f>
        <v>166.14000000000001</v>
      </c>
    </row>
    <row r="68" spans="2:14" ht="38.25" x14ac:dyDescent="0.25">
      <c r="B68" s="20">
        <v>59</v>
      </c>
      <c r="C68" s="21" t="s">
        <v>840</v>
      </c>
      <c r="D68" s="22" t="s">
        <v>841</v>
      </c>
      <c r="E68" s="38">
        <v>1</v>
      </c>
      <c r="F68" s="21" t="s">
        <v>719</v>
      </c>
      <c r="G68" s="39">
        <v>139.96</v>
      </c>
      <c r="H68" s="39">
        <v>139.96</v>
      </c>
      <c r="I68" s="26" t="s">
        <v>720</v>
      </c>
      <c r="J68" s="26"/>
      <c r="K68" s="26"/>
      <c r="L68" s="39"/>
      <c r="M68" s="18"/>
      <c r="N68" s="19">
        <f t="shared" si="1"/>
        <v>209.94</v>
      </c>
    </row>
    <row r="69" spans="2:14" ht="38.25" x14ac:dyDescent="0.25">
      <c r="B69" s="20">
        <v>60</v>
      </c>
      <c r="C69" s="21" t="s">
        <v>842</v>
      </c>
      <c r="D69" s="22" t="s">
        <v>843</v>
      </c>
      <c r="E69" s="38">
        <v>1</v>
      </c>
      <c r="F69" s="21" t="s">
        <v>719</v>
      </c>
      <c r="G69" s="39">
        <v>156.69</v>
      </c>
      <c r="H69" s="39">
        <v>156.69</v>
      </c>
      <c r="I69" s="26" t="s">
        <v>720</v>
      </c>
      <c r="J69" s="26"/>
      <c r="K69" s="26"/>
      <c r="L69" s="39"/>
      <c r="M69" s="18"/>
      <c r="N69" s="19">
        <f t="shared" si="1"/>
        <v>235.035</v>
      </c>
    </row>
  </sheetData>
  <mergeCells count="91">
    <mergeCell ref="I64:K64"/>
    <mergeCell ref="I65:K65"/>
    <mergeCell ref="I66:K66"/>
    <mergeCell ref="I67:K67"/>
    <mergeCell ref="I68:K68"/>
    <mergeCell ref="I69:K69"/>
    <mergeCell ref="I58:K58"/>
    <mergeCell ref="I59:K59"/>
    <mergeCell ref="I60:K60"/>
    <mergeCell ref="I61:K61"/>
    <mergeCell ref="I62:K62"/>
    <mergeCell ref="I63:K63"/>
    <mergeCell ref="I52:K52"/>
    <mergeCell ref="I53:K53"/>
    <mergeCell ref="I54:K54"/>
    <mergeCell ref="I55:K55"/>
    <mergeCell ref="I56:K56"/>
    <mergeCell ref="I57:K57"/>
    <mergeCell ref="I46:K46"/>
    <mergeCell ref="I47:K47"/>
    <mergeCell ref="I48:K48"/>
    <mergeCell ref="I49:K49"/>
    <mergeCell ref="I50:K50"/>
    <mergeCell ref="I51:K51"/>
    <mergeCell ref="I40:K40"/>
    <mergeCell ref="I41:K41"/>
    <mergeCell ref="I42:K42"/>
    <mergeCell ref="I43:K43"/>
    <mergeCell ref="I44:K44"/>
    <mergeCell ref="I45:K45"/>
    <mergeCell ref="I34:K34"/>
    <mergeCell ref="I35:K35"/>
    <mergeCell ref="I36:K36"/>
    <mergeCell ref="I37:K37"/>
    <mergeCell ref="I38:K38"/>
    <mergeCell ref="I39:K39"/>
    <mergeCell ref="G29:H29"/>
    <mergeCell ref="I29:K29"/>
    <mergeCell ref="I30:K30"/>
    <mergeCell ref="I31:K31"/>
    <mergeCell ref="I32:K32"/>
    <mergeCell ref="I33:K33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8:J8"/>
    <mergeCell ref="K8:L8"/>
    <mergeCell ref="I9:J9"/>
    <mergeCell ref="K9:L9"/>
    <mergeCell ref="I10:J10"/>
    <mergeCell ref="K10:L10"/>
    <mergeCell ref="B4:L4"/>
    <mergeCell ref="I5:J5"/>
    <mergeCell ref="K5:L5"/>
    <mergeCell ref="I6:J6"/>
    <mergeCell ref="K6:L6"/>
    <mergeCell ref="I7:J7"/>
    <mergeCell ref="K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051B-F944-4759-B8E3-06A95E5A2478}">
  <dimension ref="A2:J81"/>
  <sheetViews>
    <sheetView workbookViewId="0">
      <selection activeCell="H3" sqref="H3"/>
    </sheetView>
  </sheetViews>
  <sheetFormatPr baseColWidth="10" defaultRowHeight="15" x14ac:dyDescent="0.25"/>
  <sheetData>
    <row r="2" spans="1:10" x14ac:dyDescent="0.25">
      <c r="G2" s="1" t="s">
        <v>713</v>
      </c>
      <c r="J2" s="12" t="s">
        <v>714</v>
      </c>
    </row>
    <row r="3" spans="1:10" ht="85.5" x14ac:dyDescent="0.25">
      <c r="A3" s="43">
        <v>61</v>
      </c>
      <c r="B3" s="44" t="s">
        <v>850</v>
      </c>
      <c r="C3" s="45" t="s">
        <v>851</v>
      </c>
      <c r="D3" s="46">
        <v>1</v>
      </c>
      <c r="E3" s="44" t="s">
        <v>719</v>
      </c>
      <c r="F3" s="45" t="s">
        <v>720</v>
      </c>
      <c r="G3" s="47">
        <v>313.12</v>
      </c>
      <c r="H3" s="45" t="s">
        <v>720</v>
      </c>
      <c r="I3" s="48">
        <v>313.12</v>
      </c>
      <c r="J3" s="19">
        <f>(G3*1.6)</f>
        <v>500.99200000000002</v>
      </c>
    </row>
    <row r="4" spans="1:10" ht="85.5" x14ac:dyDescent="0.25">
      <c r="A4" s="43">
        <v>62</v>
      </c>
      <c r="B4" s="44" t="s">
        <v>852</v>
      </c>
      <c r="C4" s="45" t="s">
        <v>853</v>
      </c>
      <c r="D4" s="46">
        <v>1</v>
      </c>
      <c r="E4" s="44" t="s">
        <v>719</v>
      </c>
      <c r="F4" s="45" t="s">
        <v>720</v>
      </c>
      <c r="G4" s="49">
        <v>63.29</v>
      </c>
      <c r="H4" s="45" t="s">
        <v>720</v>
      </c>
      <c r="I4" s="48">
        <v>63.29</v>
      </c>
      <c r="J4" s="19">
        <f t="shared" ref="J4:J67" si="0">(G4*1.6)</f>
        <v>101.26400000000001</v>
      </c>
    </row>
    <row r="5" spans="1:10" ht="85.5" x14ac:dyDescent="0.25">
      <c r="A5" s="43">
        <v>63</v>
      </c>
      <c r="B5" s="44" t="s">
        <v>854</v>
      </c>
      <c r="C5" s="45" t="s">
        <v>855</v>
      </c>
      <c r="D5" s="46">
        <v>1</v>
      </c>
      <c r="E5" s="44" t="s">
        <v>719</v>
      </c>
      <c r="F5" s="45" t="s">
        <v>720</v>
      </c>
      <c r="G5" s="47">
        <v>120.48</v>
      </c>
      <c r="H5" s="45" t="s">
        <v>720</v>
      </c>
      <c r="I5" s="48">
        <v>120.48</v>
      </c>
      <c r="J5" s="19">
        <f t="shared" si="0"/>
        <v>192.76800000000003</v>
      </c>
    </row>
    <row r="6" spans="1:10" ht="85.5" x14ac:dyDescent="0.25">
      <c r="A6" s="43">
        <v>64</v>
      </c>
      <c r="B6" s="44" t="s">
        <v>856</v>
      </c>
      <c r="C6" s="45" t="s">
        <v>857</v>
      </c>
      <c r="D6" s="46">
        <v>1</v>
      </c>
      <c r="E6" s="44" t="s">
        <v>719</v>
      </c>
      <c r="F6" s="45" t="s">
        <v>720</v>
      </c>
      <c r="G6" s="47">
        <v>127.29</v>
      </c>
      <c r="H6" s="45" t="s">
        <v>720</v>
      </c>
      <c r="I6" s="48">
        <v>127.29</v>
      </c>
      <c r="J6" s="19">
        <f t="shared" si="0"/>
        <v>203.66400000000002</v>
      </c>
    </row>
    <row r="7" spans="1:10" ht="85.5" x14ac:dyDescent="0.25">
      <c r="A7" s="43">
        <v>65</v>
      </c>
      <c r="B7" s="44" t="s">
        <v>858</v>
      </c>
      <c r="C7" s="45" t="s">
        <v>859</v>
      </c>
      <c r="D7" s="46">
        <v>1</v>
      </c>
      <c r="E7" s="44" t="s">
        <v>719</v>
      </c>
      <c r="F7" s="45" t="s">
        <v>720</v>
      </c>
      <c r="G7" s="47">
        <v>147.05000000000001</v>
      </c>
      <c r="H7" s="45" t="s">
        <v>720</v>
      </c>
      <c r="I7" s="48">
        <v>147.05000000000001</v>
      </c>
      <c r="J7" s="19">
        <f t="shared" si="0"/>
        <v>235.28000000000003</v>
      </c>
    </row>
    <row r="8" spans="1:10" ht="128.25" x14ac:dyDescent="0.25">
      <c r="A8" s="43">
        <v>66</v>
      </c>
      <c r="B8" s="44" t="s">
        <v>860</v>
      </c>
      <c r="C8" s="45" t="s">
        <v>861</v>
      </c>
      <c r="D8" s="46">
        <v>1</v>
      </c>
      <c r="E8" s="44" t="s">
        <v>719</v>
      </c>
      <c r="F8" s="45" t="s">
        <v>720</v>
      </c>
      <c r="G8" s="47">
        <v>569.39</v>
      </c>
      <c r="H8" s="45" t="s">
        <v>720</v>
      </c>
      <c r="I8" s="48">
        <v>569.39</v>
      </c>
      <c r="J8" s="19">
        <f t="shared" si="0"/>
        <v>911.024</v>
      </c>
    </row>
    <row r="9" spans="1:10" ht="99.75" x14ac:dyDescent="0.25">
      <c r="A9" s="43">
        <v>67</v>
      </c>
      <c r="B9" s="44" t="s">
        <v>862</v>
      </c>
      <c r="C9" s="45" t="s">
        <v>863</v>
      </c>
      <c r="D9" s="46">
        <v>1</v>
      </c>
      <c r="E9" s="44" t="s">
        <v>719</v>
      </c>
      <c r="F9" s="45" t="s">
        <v>720</v>
      </c>
      <c r="G9" s="47">
        <v>585.32000000000005</v>
      </c>
      <c r="H9" s="45" t="s">
        <v>720</v>
      </c>
      <c r="I9" s="48">
        <v>585.32000000000005</v>
      </c>
      <c r="J9" s="19">
        <f t="shared" si="0"/>
        <v>936.51200000000017</v>
      </c>
    </row>
    <row r="10" spans="1:10" ht="128.25" x14ac:dyDescent="0.25">
      <c r="A10" s="43">
        <v>68</v>
      </c>
      <c r="B10" s="44" t="s">
        <v>864</v>
      </c>
      <c r="C10" s="30" t="s">
        <v>865</v>
      </c>
      <c r="D10" s="46">
        <v>1</v>
      </c>
      <c r="E10" s="44" t="s">
        <v>719</v>
      </c>
      <c r="F10" s="45" t="s">
        <v>720</v>
      </c>
      <c r="G10" s="47">
        <v>807.35</v>
      </c>
      <c r="H10" s="45" t="s">
        <v>720</v>
      </c>
      <c r="I10" s="48">
        <v>807.35</v>
      </c>
      <c r="J10" s="19">
        <f t="shared" si="0"/>
        <v>1291.7600000000002</v>
      </c>
    </row>
    <row r="11" spans="1:10" ht="28.5" x14ac:dyDescent="0.25">
      <c r="A11" s="40"/>
      <c r="B11" s="40"/>
      <c r="C11" s="45" t="s">
        <v>866</v>
      </c>
      <c r="D11" s="40"/>
      <c r="E11" s="40"/>
      <c r="F11" s="40"/>
      <c r="G11" s="40"/>
      <c r="H11" s="40"/>
      <c r="I11" s="40"/>
      <c r="J11" s="19">
        <f t="shared" si="0"/>
        <v>0</v>
      </c>
    </row>
    <row r="12" spans="1:10" ht="42.75" x14ac:dyDescent="0.25">
      <c r="A12" s="43">
        <v>69</v>
      </c>
      <c r="B12" s="44" t="s">
        <v>867</v>
      </c>
      <c r="C12" s="45" t="s">
        <v>868</v>
      </c>
      <c r="D12" s="46">
        <v>10</v>
      </c>
      <c r="E12" s="44" t="s">
        <v>719</v>
      </c>
      <c r="F12" s="45" t="s">
        <v>720</v>
      </c>
      <c r="G12" s="49">
        <v>28.27</v>
      </c>
      <c r="H12" s="45" t="s">
        <v>720</v>
      </c>
      <c r="I12" s="48">
        <v>282.7</v>
      </c>
      <c r="J12" s="19">
        <f t="shared" si="0"/>
        <v>45.231999999999999</v>
      </c>
    </row>
    <row r="13" spans="1:10" ht="42.75" x14ac:dyDescent="0.25">
      <c r="A13" s="43">
        <v>70</v>
      </c>
      <c r="B13" s="44" t="s">
        <v>869</v>
      </c>
      <c r="C13" s="45" t="s">
        <v>870</v>
      </c>
      <c r="D13" s="46">
        <v>10</v>
      </c>
      <c r="E13" s="44" t="s">
        <v>719</v>
      </c>
      <c r="F13" s="45" t="s">
        <v>720</v>
      </c>
      <c r="G13" s="49">
        <v>28.27</v>
      </c>
      <c r="H13" s="45" t="s">
        <v>720</v>
      </c>
      <c r="I13" s="48">
        <v>282.7</v>
      </c>
      <c r="J13" s="19">
        <f t="shared" si="0"/>
        <v>45.231999999999999</v>
      </c>
    </row>
    <row r="14" spans="1:10" ht="42.75" x14ac:dyDescent="0.25">
      <c r="A14" s="43">
        <v>71</v>
      </c>
      <c r="B14" s="44" t="s">
        <v>871</v>
      </c>
      <c r="C14" s="45" t="s">
        <v>872</v>
      </c>
      <c r="D14" s="46">
        <v>10</v>
      </c>
      <c r="E14" s="44" t="s">
        <v>719</v>
      </c>
      <c r="F14" s="45" t="s">
        <v>720</v>
      </c>
      <c r="G14" s="49">
        <v>36.67</v>
      </c>
      <c r="H14" s="45" t="s">
        <v>720</v>
      </c>
      <c r="I14" s="48">
        <v>366.7</v>
      </c>
      <c r="J14" s="19">
        <f t="shared" si="0"/>
        <v>58.672000000000004</v>
      </c>
    </row>
    <row r="15" spans="1:10" ht="42.75" x14ac:dyDescent="0.25">
      <c r="A15" s="43">
        <v>72</v>
      </c>
      <c r="B15" s="44" t="s">
        <v>873</v>
      </c>
      <c r="C15" s="45" t="s">
        <v>874</v>
      </c>
      <c r="D15" s="46">
        <v>10</v>
      </c>
      <c r="E15" s="44" t="s">
        <v>719</v>
      </c>
      <c r="F15" s="45" t="s">
        <v>720</v>
      </c>
      <c r="G15" s="49">
        <v>32.71</v>
      </c>
      <c r="H15" s="45" t="s">
        <v>720</v>
      </c>
      <c r="I15" s="48">
        <v>327.10000000000002</v>
      </c>
      <c r="J15" s="19">
        <f t="shared" si="0"/>
        <v>52.336000000000006</v>
      </c>
    </row>
    <row r="16" spans="1:10" ht="42.75" x14ac:dyDescent="0.25">
      <c r="A16" s="43">
        <v>73</v>
      </c>
      <c r="B16" s="44" t="s">
        <v>875</v>
      </c>
      <c r="C16" s="45" t="s">
        <v>876</v>
      </c>
      <c r="D16" s="46">
        <v>10</v>
      </c>
      <c r="E16" s="44" t="s">
        <v>719</v>
      </c>
      <c r="F16" s="45" t="s">
        <v>720</v>
      </c>
      <c r="G16" s="49">
        <v>37.450000000000003</v>
      </c>
      <c r="H16" s="45" t="s">
        <v>720</v>
      </c>
      <c r="I16" s="48">
        <v>374.5</v>
      </c>
      <c r="J16" s="19">
        <f t="shared" si="0"/>
        <v>59.920000000000009</v>
      </c>
    </row>
    <row r="17" spans="1:10" ht="42.75" x14ac:dyDescent="0.25">
      <c r="A17" s="43">
        <v>74</v>
      </c>
      <c r="B17" s="44" t="s">
        <v>877</v>
      </c>
      <c r="C17" s="45" t="s">
        <v>878</v>
      </c>
      <c r="D17" s="46">
        <v>5</v>
      </c>
      <c r="E17" s="44" t="s">
        <v>719</v>
      </c>
      <c r="F17" s="45" t="s">
        <v>720</v>
      </c>
      <c r="G17" s="49">
        <v>62.93</v>
      </c>
      <c r="H17" s="45" t="s">
        <v>720</v>
      </c>
      <c r="I17" s="48">
        <v>314.64999999999998</v>
      </c>
      <c r="J17" s="19">
        <f t="shared" si="0"/>
        <v>100.688</v>
      </c>
    </row>
    <row r="18" spans="1:10" ht="42.75" x14ac:dyDescent="0.25">
      <c r="A18" s="43">
        <v>75</v>
      </c>
      <c r="B18" s="44" t="s">
        <v>879</v>
      </c>
      <c r="C18" s="45" t="s">
        <v>880</v>
      </c>
      <c r="D18" s="46">
        <v>5</v>
      </c>
      <c r="E18" s="44" t="s">
        <v>719</v>
      </c>
      <c r="F18" s="45" t="s">
        <v>720</v>
      </c>
      <c r="G18" s="49">
        <v>62.8</v>
      </c>
      <c r="H18" s="45" t="s">
        <v>720</v>
      </c>
      <c r="I18" s="48">
        <v>314</v>
      </c>
      <c r="J18" s="19">
        <f t="shared" si="0"/>
        <v>100.48</v>
      </c>
    </row>
    <row r="19" spans="1:10" ht="42.75" x14ac:dyDescent="0.25">
      <c r="A19" s="43">
        <v>76</v>
      </c>
      <c r="B19" s="44" t="s">
        <v>881</v>
      </c>
      <c r="C19" s="45" t="s">
        <v>882</v>
      </c>
      <c r="D19" s="46">
        <v>5</v>
      </c>
      <c r="E19" s="44" t="s">
        <v>719</v>
      </c>
      <c r="F19" s="45" t="s">
        <v>720</v>
      </c>
      <c r="G19" s="49">
        <v>59.08</v>
      </c>
      <c r="H19" s="45" t="s">
        <v>720</v>
      </c>
      <c r="I19" s="48">
        <v>295.39999999999998</v>
      </c>
      <c r="J19" s="19">
        <f t="shared" si="0"/>
        <v>94.528000000000006</v>
      </c>
    </row>
    <row r="20" spans="1:10" ht="42.75" x14ac:dyDescent="0.25">
      <c r="A20" s="43">
        <v>77</v>
      </c>
      <c r="B20" s="44" t="s">
        <v>883</v>
      </c>
      <c r="C20" s="45" t="s">
        <v>884</v>
      </c>
      <c r="D20" s="46">
        <v>5</v>
      </c>
      <c r="E20" s="44" t="s">
        <v>719</v>
      </c>
      <c r="F20" s="45" t="s">
        <v>720</v>
      </c>
      <c r="G20" s="49">
        <v>59.45</v>
      </c>
      <c r="H20" s="45" t="s">
        <v>720</v>
      </c>
      <c r="I20" s="48">
        <v>297.25</v>
      </c>
      <c r="J20" s="19">
        <f t="shared" si="0"/>
        <v>95.12</v>
      </c>
    </row>
    <row r="21" spans="1:10" ht="42.75" x14ac:dyDescent="0.25">
      <c r="A21" s="43">
        <v>78</v>
      </c>
      <c r="B21" s="44" t="s">
        <v>885</v>
      </c>
      <c r="C21" s="45" t="s">
        <v>886</v>
      </c>
      <c r="D21" s="46">
        <v>5</v>
      </c>
      <c r="E21" s="44" t="s">
        <v>719</v>
      </c>
      <c r="F21" s="45" t="s">
        <v>720</v>
      </c>
      <c r="G21" s="49">
        <v>73.89</v>
      </c>
      <c r="H21" s="45" t="s">
        <v>720</v>
      </c>
      <c r="I21" s="48">
        <v>369.45</v>
      </c>
      <c r="J21" s="19">
        <f t="shared" si="0"/>
        <v>118.224</v>
      </c>
    </row>
    <row r="22" spans="1:10" ht="57" x14ac:dyDescent="0.25">
      <c r="A22" s="43">
        <v>79</v>
      </c>
      <c r="B22" s="44" t="s">
        <v>887</v>
      </c>
      <c r="C22" s="45" t="s">
        <v>888</v>
      </c>
      <c r="D22" s="46">
        <v>10</v>
      </c>
      <c r="E22" s="44" t="s">
        <v>719</v>
      </c>
      <c r="F22" s="45" t="s">
        <v>720</v>
      </c>
      <c r="G22" s="49">
        <v>26.57</v>
      </c>
      <c r="H22" s="45" t="s">
        <v>720</v>
      </c>
      <c r="I22" s="48">
        <v>265.7</v>
      </c>
      <c r="J22" s="19">
        <f t="shared" si="0"/>
        <v>42.512</v>
      </c>
    </row>
    <row r="23" spans="1:10" ht="57" x14ac:dyDescent="0.25">
      <c r="A23" s="43">
        <v>80</v>
      </c>
      <c r="B23" s="44" t="s">
        <v>889</v>
      </c>
      <c r="C23" s="45" t="s">
        <v>890</v>
      </c>
      <c r="D23" s="46">
        <v>10</v>
      </c>
      <c r="E23" s="44" t="s">
        <v>719</v>
      </c>
      <c r="F23" s="45" t="s">
        <v>720</v>
      </c>
      <c r="G23" s="49">
        <v>26.37</v>
      </c>
      <c r="H23" s="45" t="s">
        <v>720</v>
      </c>
      <c r="I23" s="48">
        <v>263.7</v>
      </c>
      <c r="J23" s="19">
        <f t="shared" si="0"/>
        <v>42.192000000000007</v>
      </c>
    </row>
    <row r="24" spans="1:10" ht="57" x14ac:dyDescent="0.25">
      <c r="A24" s="43">
        <v>81</v>
      </c>
      <c r="B24" s="44" t="s">
        <v>891</v>
      </c>
      <c r="C24" s="45" t="s">
        <v>892</v>
      </c>
      <c r="D24" s="46">
        <v>10</v>
      </c>
      <c r="E24" s="44" t="s">
        <v>719</v>
      </c>
      <c r="F24" s="45" t="s">
        <v>720</v>
      </c>
      <c r="G24" s="49">
        <v>28.36</v>
      </c>
      <c r="H24" s="45" t="s">
        <v>720</v>
      </c>
      <c r="I24" s="48">
        <v>283.60000000000002</v>
      </c>
      <c r="J24" s="19">
        <f t="shared" si="0"/>
        <v>45.376000000000005</v>
      </c>
    </row>
    <row r="25" spans="1:10" ht="57" x14ac:dyDescent="0.25">
      <c r="A25" s="43">
        <v>82</v>
      </c>
      <c r="B25" s="44" t="s">
        <v>893</v>
      </c>
      <c r="C25" s="45" t="s">
        <v>894</v>
      </c>
      <c r="D25" s="46">
        <v>10</v>
      </c>
      <c r="E25" s="44" t="s">
        <v>719</v>
      </c>
      <c r="F25" s="45" t="s">
        <v>720</v>
      </c>
      <c r="G25" s="49">
        <v>39.99</v>
      </c>
      <c r="H25" s="45" t="s">
        <v>720</v>
      </c>
      <c r="I25" s="48">
        <v>399.9</v>
      </c>
      <c r="J25" s="19">
        <f t="shared" si="0"/>
        <v>63.984000000000009</v>
      </c>
    </row>
    <row r="26" spans="1:10" ht="57" x14ac:dyDescent="0.25">
      <c r="A26" s="43">
        <v>83</v>
      </c>
      <c r="B26" s="44" t="s">
        <v>895</v>
      </c>
      <c r="C26" s="45" t="s">
        <v>896</v>
      </c>
      <c r="D26" s="46">
        <v>5</v>
      </c>
      <c r="E26" s="44" t="s">
        <v>719</v>
      </c>
      <c r="F26" s="45" t="s">
        <v>720</v>
      </c>
      <c r="G26" s="49">
        <v>90.3</v>
      </c>
      <c r="H26" s="45" t="s">
        <v>720</v>
      </c>
      <c r="I26" s="48">
        <v>451.5</v>
      </c>
      <c r="J26" s="19">
        <f t="shared" si="0"/>
        <v>144.47999999999999</v>
      </c>
    </row>
    <row r="27" spans="1:10" ht="57" x14ac:dyDescent="0.25">
      <c r="A27" s="43">
        <v>84</v>
      </c>
      <c r="B27" s="44" t="s">
        <v>897</v>
      </c>
      <c r="C27" s="45" t="s">
        <v>898</v>
      </c>
      <c r="D27" s="46">
        <v>5</v>
      </c>
      <c r="E27" s="44" t="s">
        <v>719</v>
      </c>
      <c r="F27" s="45" t="s">
        <v>720</v>
      </c>
      <c r="G27" s="49">
        <v>90.13</v>
      </c>
      <c r="H27" s="45" t="s">
        <v>720</v>
      </c>
      <c r="I27" s="48">
        <v>450.65</v>
      </c>
      <c r="J27" s="19">
        <f t="shared" si="0"/>
        <v>144.208</v>
      </c>
    </row>
    <row r="28" spans="1:10" ht="57" x14ac:dyDescent="0.25">
      <c r="A28" s="43">
        <v>85</v>
      </c>
      <c r="B28" s="44" t="s">
        <v>899</v>
      </c>
      <c r="C28" s="45" t="s">
        <v>900</v>
      </c>
      <c r="D28" s="46">
        <v>5</v>
      </c>
      <c r="E28" s="44" t="s">
        <v>719</v>
      </c>
      <c r="F28" s="45" t="s">
        <v>720</v>
      </c>
      <c r="G28" s="49">
        <v>90.2</v>
      </c>
      <c r="H28" s="45" t="s">
        <v>720</v>
      </c>
      <c r="I28" s="48">
        <v>451</v>
      </c>
      <c r="J28" s="19">
        <f t="shared" si="0"/>
        <v>144.32000000000002</v>
      </c>
    </row>
    <row r="29" spans="1:10" ht="57" x14ac:dyDescent="0.25">
      <c r="A29" s="43">
        <v>86</v>
      </c>
      <c r="B29" s="44" t="s">
        <v>901</v>
      </c>
      <c r="C29" s="45" t="s">
        <v>902</v>
      </c>
      <c r="D29" s="46">
        <v>5</v>
      </c>
      <c r="E29" s="44" t="s">
        <v>719</v>
      </c>
      <c r="F29" s="45" t="s">
        <v>720</v>
      </c>
      <c r="G29" s="49">
        <v>90.36</v>
      </c>
      <c r="H29" s="45" t="s">
        <v>720</v>
      </c>
      <c r="I29" s="48">
        <v>451.8</v>
      </c>
      <c r="J29" s="19">
        <f t="shared" si="0"/>
        <v>144.57599999999999</v>
      </c>
    </row>
    <row r="30" spans="1:10" ht="85.5" x14ac:dyDescent="0.25">
      <c r="A30" s="43">
        <v>87</v>
      </c>
      <c r="B30" s="44" t="s">
        <v>903</v>
      </c>
      <c r="C30" s="45" t="s">
        <v>904</v>
      </c>
      <c r="D30" s="46">
        <v>1</v>
      </c>
      <c r="E30" s="44" t="s">
        <v>905</v>
      </c>
      <c r="F30" s="45" t="s">
        <v>720</v>
      </c>
      <c r="G30" s="50">
        <v>1786.86</v>
      </c>
      <c r="H30" s="45" t="s">
        <v>720</v>
      </c>
      <c r="I30" s="51">
        <v>1786.86</v>
      </c>
      <c r="J30" s="19">
        <f t="shared" si="0"/>
        <v>2858.9760000000001</v>
      </c>
    </row>
    <row r="31" spans="1:10" ht="128.25" x14ac:dyDescent="0.25">
      <c r="A31" s="43">
        <v>88</v>
      </c>
      <c r="B31" s="44" t="s">
        <v>906</v>
      </c>
      <c r="C31" s="30" t="s">
        <v>907</v>
      </c>
      <c r="D31" s="46">
        <v>1</v>
      </c>
      <c r="E31" s="44" t="s">
        <v>905</v>
      </c>
      <c r="F31" s="45" t="s">
        <v>720</v>
      </c>
      <c r="G31" s="50">
        <v>2232.48</v>
      </c>
      <c r="H31" s="45" t="s">
        <v>720</v>
      </c>
      <c r="I31" s="51">
        <v>2232.48</v>
      </c>
      <c r="J31" s="19">
        <f t="shared" si="0"/>
        <v>3571.9680000000003</v>
      </c>
    </row>
    <row r="32" spans="1:10" ht="42.75" x14ac:dyDescent="0.25">
      <c r="A32" s="31"/>
      <c r="B32" s="31"/>
      <c r="C32" s="45" t="s">
        <v>908</v>
      </c>
      <c r="D32" s="31"/>
      <c r="E32" s="31"/>
      <c r="F32" s="31"/>
      <c r="G32" s="31"/>
      <c r="H32" s="31"/>
      <c r="I32" s="31"/>
      <c r="J32" s="19">
        <f t="shared" si="0"/>
        <v>0</v>
      </c>
    </row>
    <row r="33" spans="1:10" ht="85.5" x14ac:dyDescent="0.25">
      <c r="A33" s="43">
        <v>89</v>
      </c>
      <c r="B33" s="44" t="s">
        <v>909</v>
      </c>
      <c r="C33" s="45" t="s">
        <v>904</v>
      </c>
      <c r="D33" s="46">
        <v>1</v>
      </c>
      <c r="E33" s="44" t="s">
        <v>905</v>
      </c>
      <c r="F33" s="45" t="s">
        <v>720</v>
      </c>
      <c r="G33" s="50">
        <v>2504.19</v>
      </c>
      <c r="H33" s="45" t="s">
        <v>720</v>
      </c>
      <c r="I33" s="51">
        <v>2504.19</v>
      </c>
      <c r="J33" s="19">
        <f t="shared" si="0"/>
        <v>4006.7040000000002</v>
      </c>
    </row>
    <row r="34" spans="1:10" ht="128.25" x14ac:dyDescent="0.25">
      <c r="A34" s="43">
        <v>90</v>
      </c>
      <c r="B34" s="44" t="s">
        <v>910</v>
      </c>
      <c r="C34" s="30" t="s">
        <v>911</v>
      </c>
      <c r="D34" s="46">
        <v>1</v>
      </c>
      <c r="E34" s="44" t="s">
        <v>719</v>
      </c>
      <c r="F34" s="45" t="s">
        <v>720</v>
      </c>
      <c r="G34" s="50">
        <v>3575.9</v>
      </c>
      <c r="H34" s="45" t="s">
        <v>720</v>
      </c>
      <c r="I34" s="51">
        <v>3575.9</v>
      </c>
      <c r="J34" s="19">
        <f t="shared" si="0"/>
        <v>5721.4400000000005</v>
      </c>
    </row>
    <row r="35" spans="1:10" ht="42.75" x14ac:dyDescent="0.25">
      <c r="A35" s="31"/>
      <c r="B35" s="31"/>
      <c r="C35" s="45" t="s">
        <v>912</v>
      </c>
      <c r="D35" s="31"/>
      <c r="E35" s="31"/>
      <c r="F35" s="31"/>
      <c r="G35" s="31"/>
      <c r="H35" s="31"/>
      <c r="I35" s="31"/>
      <c r="J35" s="19">
        <f t="shared" si="0"/>
        <v>0</v>
      </c>
    </row>
    <row r="36" spans="1:10" ht="99.75" x14ac:dyDescent="0.25">
      <c r="A36" s="43">
        <v>91</v>
      </c>
      <c r="B36" s="44" t="s">
        <v>913</v>
      </c>
      <c r="C36" s="45" t="s">
        <v>914</v>
      </c>
      <c r="D36" s="46">
        <v>1</v>
      </c>
      <c r="E36" s="44" t="s">
        <v>719</v>
      </c>
      <c r="F36" s="45" t="s">
        <v>720</v>
      </c>
      <c r="G36" s="50">
        <v>1786.75</v>
      </c>
      <c r="H36" s="45" t="s">
        <v>720</v>
      </c>
      <c r="I36" s="51">
        <v>1786.75</v>
      </c>
      <c r="J36" s="19">
        <f t="shared" si="0"/>
        <v>2858.8</v>
      </c>
    </row>
    <row r="37" spans="1:10" ht="142.5" x14ac:dyDescent="0.25">
      <c r="A37" s="43">
        <v>92</v>
      </c>
      <c r="B37" s="44" t="s">
        <v>915</v>
      </c>
      <c r="C37" s="30" t="s">
        <v>916</v>
      </c>
      <c r="D37" s="46">
        <v>1</v>
      </c>
      <c r="E37" s="44" t="s">
        <v>719</v>
      </c>
      <c r="F37" s="45" t="s">
        <v>720</v>
      </c>
      <c r="G37" s="50">
        <v>2234.2199999999998</v>
      </c>
      <c r="H37" s="45" t="s">
        <v>720</v>
      </c>
      <c r="I37" s="51">
        <v>2234.2199999999998</v>
      </c>
      <c r="J37" s="19">
        <f t="shared" si="0"/>
        <v>3574.752</v>
      </c>
    </row>
    <row r="38" spans="1:10" ht="42.75" x14ac:dyDescent="0.25">
      <c r="A38" s="31"/>
      <c r="B38" s="31"/>
      <c r="C38" s="45" t="s">
        <v>917</v>
      </c>
      <c r="D38" s="31"/>
      <c r="E38" s="31"/>
      <c r="F38" s="31"/>
      <c r="G38" s="31"/>
      <c r="H38" s="31"/>
      <c r="I38" s="31"/>
      <c r="J38" s="19">
        <f t="shared" si="0"/>
        <v>0</v>
      </c>
    </row>
    <row r="39" spans="1:10" ht="142.5" x14ac:dyDescent="0.25">
      <c r="A39" s="43">
        <v>93</v>
      </c>
      <c r="B39" s="44" t="s">
        <v>918</v>
      </c>
      <c r="C39" s="30" t="s">
        <v>919</v>
      </c>
      <c r="D39" s="46">
        <v>1</v>
      </c>
      <c r="E39" s="44" t="s">
        <v>719</v>
      </c>
      <c r="F39" s="45" t="s">
        <v>720</v>
      </c>
      <c r="G39" s="50">
        <v>2681.65</v>
      </c>
      <c r="H39" s="45" t="s">
        <v>720</v>
      </c>
      <c r="I39" s="51">
        <v>2681.65</v>
      </c>
      <c r="J39" s="19">
        <f t="shared" si="0"/>
        <v>4290.6400000000003</v>
      </c>
    </row>
    <row r="40" spans="1:10" ht="85.5" x14ac:dyDescent="0.25">
      <c r="A40" s="43">
        <v>94</v>
      </c>
      <c r="B40" s="44" t="s">
        <v>920</v>
      </c>
      <c r="C40" s="45" t="s">
        <v>921</v>
      </c>
      <c r="D40" s="46">
        <v>1</v>
      </c>
      <c r="E40" s="44" t="s">
        <v>905</v>
      </c>
      <c r="F40" s="45" t="s">
        <v>720</v>
      </c>
      <c r="G40" s="50">
        <v>1380.32</v>
      </c>
      <c r="H40" s="45" t="s">
        <v>720</v>
      </c>
      <c r="I40" s="51">
        <v>1380.32</v>
      </c>
      <c r="J40" s="19">
        <f t="shared" si="0"/>
        <v>2208.5120000000002</v>
      </c>
    </row>
    <row r="41" spans="1:10" ht="85.5" x14ac:dyDescent="0.25">
      <c r="A41" s="43">
        <v>95</v>
      </c>
      <c r="B41" s="44" t="s">
        <v>922</v>
      </c>
      <c r="C41" s="45" t="s">
        <v>923</v>
      </c>
      <c r="D41" s="46">
        <v>1</v>
      </c>
      <c r="E41" s="44" t="s">
        <v>905</v>
      </c>
      <c r="F41" s="45" t="s">
        <v>720</v>
      </c>
      <c r="G41" s="50">
        <v>1702.96</v>
      </c>
      <c r="H41" s="45" t="s">
        <v>720</v>
      </c>
      <c r="I41" s="51">
        <v>1702.96</v>
      </c>
      <c r="J41" s="19">
        <f t="shared" si="0"/>
        <v>2724.7360000000003</v>
      </c>
    </row>
    <row r="42" spans="1:10" ht="85.5" x14ac:dyDescent="0.25">
      <c r="A42" s="43">
        <v>96</v>
      </c>
      <c r="B42" s="44" t="s">
        <v>924</v>
      </c>
      <c r="C42" s="45" t="s">
        <v>925</v>
      </c>
      <c r="D42" s="46">
        <v>1</v>
      </c>
      <c r="E42" s="44" t="s">
        <v>905</v>
      </c>
      <c r="F42" s="45" t="s">
        <v>720</v>
      </c>
      <c r="G42" s="50">
        <v>2008.5</v>
      </c>
      <c r="H42" s="45" t="s">
        <v>720</v>
      </c>
      <c r="I42" s="51">
        <v>2008.5</v>
      </c>
      <c r="J42" s="19">
        <f t="shared" si="0"/>
        <v>3213.6000000000004</v>
      </c>
    </row>
    <row r="43" spans="1:10" ht="85.5" x14ac:dyDescent="0.25">
      <c r="A43" s="43">
        <v>97</v>
      </c>
      <c r="B43" s="44" t="s">
        <v>926</v>
      </c>
      <c r="C43" s="45" t="s">
        <v>927</v>
      </c>
      <c r="D43" s="46">
        <v>1</v>
      </c>
      <c r="E43" s="44" t="s">
        <v>719</v>
      </c>
      <c r="F43" s="45" t="s">
        <v>720</v>
      </c>
      <c r="G43" s="50">
        <v>2713.17</v>
      </c>
      <c r="H43" s="45" t="s">
        <v>720</v>
      </c>
      <c r="I43" s="51">
        <v>2713.17</v>
      </c>
      <c r="J43" s="19">
        <f t="shared" si="0"/>
        <v>4341.0720000000001</v>
      </c>
    </row>
    <row r="44" spans="1:10" ht="85.5" x14ac:dyDescent="0.25">
      <c r="A44" s="52">
        <v>98</v>
      </c>
      <c r="B44" s="44" t="s">
        <v>928</v>
      </c>
      <c r="C44" s="30" t="s">
        <v>929</v>
      </c>
      <c r="D44" s="46">
        <v>1</v>
      </c>
      <c r="E44" s="44" t="s">
        <v>905</v>
      </c>
      <c r="F44" s="45" t="s">
        <v>720</v>
      </c>
      <c r="G44" s="47">
        <v>791.23</v>
      </c>
      <c r="H44" s="45" t="s">
        <v>720</v>
      </c>
      <c r="I44" s="48">
        <v>791.23</v>
      </c>
      <c r="J44" s="19">
        <f t="shared" si="0"/>
        <v>1265.9680000000001</v>
      </c>
    </row>
    <row r="45" spans="1:10" ht="71.25" x14ac:dyDescent="0.25">
      <c r="A45" s="52">
        <v>99</v>
      </c>
      <c r="B45" s="44" t="s">
        <v>930</v>
      </c>
      <c r="C45" s="45" t="s">
        <v>931</v>
      </c>
      <c r="D45" s="46">
        <v>1</v>
      </c>
      <c r="E45" s="44" t="s">
        <v>905</v>
      </c>
      <c r="F45" s="45" t="s">
        <v>720</v>
      </c>
      <c r="G45" s="47">
        <v>954.14</v>
      </c>
      <c r="H45" s="45" t="s">
        <v>720</v>
      </c>
      <c r="I45" s="48">
        <v>954.14</v>
      </c>
      <c r="J45" s="19">
        <f t="shared" si="0"/>
        <v>1526.624</v>
      </c>
    </row>
    <row r="46" spans="1:10" ht="85.5" x14ac:dyDescent="0.25">
      <c r="A46" s="53" t="s">
        <v>932</v>
      </c>
      <c r="B46" s="44" t="s">
        <v>933</v>
      </c>
      <c r="C46" s="30" t="s">
        <v>934</v>
      </c>
      <c r="D46" s="46">
        <v>1</v>
      </c>
      <c r="E46" s="44" t="s">
        <v>905</v>
      </c>
      <c r="F46" s="45" t="s">
        <v>720</v>
      </c>
      <c r="G46" s="50">
        <v>1145.9000000000001</v>
      </c>
      <c r="H46" s="45" t="s">
        <v>720</v>
      </c>
      <c r="I46" s="51">
        <v>1145.9000000000001</v>
      </c>
      <c r="J46" s="19">
        <f t="shared" si="0"/>
        <v>1833.4400000000003</v>
      </c>
    </row>
    <row r="47" spans="1:10" x14ac:dyDescent="0.25">
      <c r="A47" s="31"/>
      <c r="B47" s="31"/>
      <c r="C47" s="45" t="s">
        <v>935</v>
      </c>
      <c r="D47" s="31"/>
      <c r="E47" s="31"/>
      <c r="F47" s="31"/>
      <c r="G47" s="31"/>
      <c r="H47" s="31"/>
      <c r="I47" s="31"/>
      <c r="J47" s="19">
        <f t="shared" si="0"/>
        <v>0</v>
      </c>
    </row>
    <row r="48" spans="1:10" ht="99.75" x14ac:dyDescent="0.25">
      <c r="A48" s="53" t="s">
        <v>932</v>
      </c>
      <c r="B48" s="44" t="s">
        <v>936</v>
      </c>
      <c r="C48" s="45" t="s">
        <v>937</v>
      </c>
      <c r="D48" s="46">
        <v>1</v>
      </c>
      <c r="E48" s="44" t="s">
        <v>719</v>
      </c>
      <c r="F48" s="45" t="s">
        <v>720</v>
      </c>
      <c r="G48" s="47">
        <v>908.66</v>
      </c>
      <c r="H48" s="45" t="s">
        <v>720</v>
      </c>
      <c r="I48" s="48">
        <v>908.66</v>
      </c>
      <c r="J48" s="19">
        <f t="shared" si="0"/>
        <v>1453.856</v>
      </c>
    </row>
    <row r="49" spans="1:10" ht="128.25" x14ac:dyDescent="0.25">
      <c r="A49" s="53" t="s">
        <v>932</v>
      </c>
      <c r="B49" s="44" t="s">
        <v>938</v>
      </c>
      <c r="C49" s="30" t="s">
        <v>939</v>
      </c>
      <c r="D49" s="46">
        <v>1</v>
      </c>
      <c r="E49" s="44" t="s">
        <v>719</v>
      </c>
      <c r="F49" s="45" t="s">
        <v>720</v>
      </c>
      <c r="G49" s="50">
        <v>1137.26</v>
      </c>
      <c r="H49" s="45" t="s">
        <v>720</v>
      </c>
      <c r="I49" s="51">
        <v>1137.26</v>
      </c>
      <c r="J49" s="19">
        <f t="shared" si="0"/>
        <v>1819.616</v>
      </c>
    </row>
    <row r="50" spans="1:10" ht="28.5" x14ac:dyDescent="0.25">
      <c r="A50" s="31"/>
      <c r="B50" s="31"/>
      <c r="C50" s="45" t="s">
        <v>940</v>
      </c>
      <c r="D50" s="31"/>
      <c r="E50" s="31"/>
      <c r="F50" s="31"/>
      <c r="G50" s="31"/>
      <c r="H50" s="31"/>
      <c r="I50" s="31"/>
      <c r="J50" s="19">
        <f t="shared" si="0"/>
        <v>0</v>
      </c>
    </row>
    <row r="51" spans="1:10" ht="128.25" x14ac:dyDescent="0.25">
      <c r="A51" s="53" t="s">
        <v>932</v>
      </c>
      <c r="B51" s="44" t="s">
        <v>941</v>
      </c>
      <c r="C51" s="30" t="s">
        <v>942</v>
      </c>
      <c r="D51" s="46">
        <v>1</v>
      </c>
      <c r="E51" s="44" t="s">
        <v>719</v>
      </c>
      <c r="F51" s="45" t="s">
        <v>720</v>
      </c>
      <c r="G51" s="50">
        <v>1361.84</v>
      </c>
      <c r="H51" s="45" t="s">
        <v>720</v>
      </c>
      <c r="I51" s="51">
        <v>1361.84</v>
      </c>
      <c r="J51" s="19">
        <f t="shared" si="0"/>
        <v>2178.944</v>
      </c>
    </row>
    <row r="52" spans="1:10" ht="57" x14ac:dyDescent="0.25">
      <c r="A52" s="53" t="s">
        <v>932</v>
      </c>
      <c r="B52" s="44" t="s">
        <v>943</v>
      </c>
      <c r="C52" s="45" t="s">
        <v>944</v>
      </c>
      <c r="D52" s="46">
        <v>1</v>
      </c>
      <c r="E52" s="44" t="s">
        <v>905</v>
      </c>
      <c r="F52" s="45" t="s">
        <v>720</v>
      </c>
      <c r="G52" s="47">
        <v>208.4</v>
      </c>
      <c r="H52" s="45" t="s">
        <v>720</v>
      </c>
      <c r="I52" s="48">
        <v>208.4</v>
      </c>
      <c r="J52" s="19">
        <f t="shared" si="0"/>
        <v>333.44000000000005</v>
      </c>
    </row>
    <row r="53" spans="1:10" ht="85.5" x14ac:dyDescent="0.25">
      <c r="A53" s="53" t="s">
        <v>932</v>
      </c>
      <c r="B53" s="44" t="s">
        <v>945</v>
      </c>
      <c r="C53" s="45" t="s">
        <v>946</v>
      </c>
      <c r="D53" s="46">
        <v>1</v>
      </c>
      <c r="E53" s="44" t="s">
        <v>905</v>
      </c>
      <c r="F53" s="45" t="s">
        <v>720</v>
      </c>
      <c r="G53" s="47">
        <v>130.80000000000001</v>
      </c>
      <c r="H53" s="45" t="s">
        <v>720</v>
      </c>
      <c r="I53" s="48">
        <v>130.80000000000001</v>
      </c>
      <c r="J53" s="19">
        <f t="shared" si="0"/>
        <v>209.28000000000003</v>
      </c>
    </row>
    <row r="54" spans="1:10" ht="71.25" x14ac:dyDescent="0.25">
      <c r="A54" s="53" t="s">
        <v>932</v>
      </c>
      <c r="B54" s="44" t="s">
        <v>947</v>
      </c>
      <c r="C54" s="45" t="s">
        <v>948</v>
      </c>
      <c r="D54" s="46">
        <v>1</v>
      </c>
      <c r="E54" s="44" t="s">
        <v>905</v>
      </c>
      <c r="F54" s="45" t="s">
        <v>720</v>
      </c>
      <c r="G54" s="47">
        <v>174.15</v>
      </c>
      <c r="H54" s="45" t="s">
        <v>720</v>
      </c>
      <c r="I54" s="48">
        <v>174.15</v>
      </c>
      <c r="J54" s="19">
        <f t="shared" si="0"/>
        <v>278.64000000000004</v>
      </c>
    </row>
    <row r="55" spans="1:10" ht="71.25" x14ac:dyDescent="0.25">
      <c r="A55" s="53" t="s">
        <v>932</v>
      </c>
      <c r="B55" s="44" t="s">
        <v>949</v>
      </c>
      <c r="C55" s="45" t="s">
        <v>950</v>
      </c>
      <c r="D55" s="46">
        <v>1</v>
      </c>
      <c r="E55" s="44" t="s">
        <v>905</v>
      </c>
      <c r="F55" s="45" t="s">
        <v>720</v>
      </c>
      <c r="G55" s="47">
        <v>178.4</v>
      </c>
      <c r="H55" s="45" t="s">
        <v>720</v>
      </c>
      <c r="I55" s="48">
        <v>178.4</v>
      </c>
      <c r="J55" s="19">
        <f t="shared" si="0"/>
        <v>285.44</v>
      </c>
    </row>
    <row r="56" spans="1:10" ht="71.25" x14ac:dyDescent="0.25">
      <c r="A56" s="53" t="s">
        <v>932</v>
      </c>
      <c r="B56" s="44" t="s">
        <v>951</v>
      </c>
      <c r="C56" s="45" t="s">
        <v>952</v>
      </c>
      <c r="D56" s="46">
        <v>1</v>
      </c>
      <c r="E56" s="44" t="s">
        <v>905</v>
      </c>
      <c r="F56" s="45" t="s">
        <v>720</v>
      </c>
      <c r="G56" s="47">
        <v>176.34</v>
      </c>
      <c r="H56" s="45" t="s">
        <v>720</v>
      </c>
      <c r="I56" s="48">
        <v>176.34</v>
      </c>
      <c r="J56" s="19">
        <f t="shared" si="0"/>
        <v>282.14400000000001</v>
      </c>
    </row>
    <row r="57" spans="1:10" ht="42.75" x14ac:dyDescent="0.25">
      <c r="A57" s="53" t="s">
        <v>932</v>
      </c>
      <c r="B57" s="44" t="s">
        <v>953</v>
      </c>
      <c r="C57" s="45" t="s">
        <v>954</v>
      </c>
      <c r="D57" s="46">
        <v>1</v>
      </c>
      <c r="E57" s="44" t="s">
        <v>719</v>
      </c>
      <c r="F57" s="45" t="s">
        <v>720</v>
      </c>
      <c r="G57" s="49">
        <v>4.68</v>
      </c>
      <c r="H57" s="45" t="s">
        <v>720</v>
      </c>
      <c r="I57" s="48">
        <v>4.68</v>
      </c>
      <c r="J57" s="19">
        <f t="shared" si="0"/>
        <v>7.4879999999999995</v>
      </c>
    </row>
    <row r="58" spans="1:10" ht="42.75" x14ac:dyDescent="0.25">
      <c r="A58" s="53" t="s">
        <v>932</v>
      </c>
      <c r="B58" s="44" t="s">
        <v>955</v>
      </c>
      <c r="C58" s="45" t="s">
        <v>956</v>
      </c>
      <c r="D58" s="46">
        <v>1</v>
      </c>
      <c r="E58" s="44" t="s">
        <v>719</v>
      </c>
      <c r="F58" s="45" t="s">
        <v>720</v>
      </c>
      <c r="G58" s="49">
        <v>7.63</v>
      </c>
      <c r="H58" s="45" t="s">
        <v>720</v>
      </c>
      <c r="I58" s="48">
        <v>7.63</v>
      </c>
      <c r="J58" s="19">
        <f t="shared" si="0"/>
        <v>12.208</v>
      </c>
    </row>
    <row r="59" spans="1:10" ht="42.75" x14ac:dyDescent="0.25">
      <c r="A59" s="53" t="s">
        <v>932</v>
      </c>
      <c r="B59" s="44" t="s">
        <v>957</v>
      </c>
      <c r="C59" s="45" t="s">
        <v>958</v>
      </c>
      <c r="D59" s="46">
        <v>1</v>
      </c>
      <c r="E59" s="44" t="s">
        <v>719</v>
      </c>
      <c r="F59" s="45" t="s">
        <v>720</v>
      </c>
      <c r="G59" s="49">
        <v>13.53</v>
      </c>
      <c r="H59" s="45" t="s">
        <v>720</v>
      </c>
      <c r="I59" s="48">
        <v>13.53</v>
      </c>
      <c r="J59" s="19">
        <f t="shared" si="0"/>
        <v>21.648</v>
      </c>
    </row>
    <row r="60" spans="1:10" ht="42.75" x14ac:dyDescent="0.25">
      <c r="A60" s="53" t="s">
        <v>932</v>
      </c>
      <c r="B60" s="44" t="s">
        <v>959</v>
      </c>
      <c r="C60" s="45" t="s">
        <v>960</v>
      </c>
      <c r="D60" s="46">
        <v>1</v>
      </c>
      <c r="E60" s="44" t="s">
        <v>719</v>
      </c>
      <c r="F60" s="45" t="s">
        <v>720</v>
      </c>
      <c r="G60" s="49">
        <v>25.26</v>
      </c>
      <c r="H60" s="45" t="s">
        <v>720</v>
      </c>
      <c r="I60" s="48">
        <v>25.26</v>
      </c>
      <c r="J60" s="19">
        <f t="shared" si="0"/>
        <v>40.416000000000004</v>
      </c>
    </row>
    <row r="61" spans="1:10" ht="42.75" x14ac:dyDescent="0.25">
      <c r="A61" s="53" t="s">
        <v>932</v>
      </c>
      <c r="B61" s="44" t="s">
        <v>961</v>
      </c>
      <c r="C61" s="45" t="s">
        <v>962</v>
      </c>
      <c r="D61" s="46">
        <v>1</v>
      </c>
      <c r="E61" s="44" t="s">
        <v>719</v>
      </c>
      <c r="F61" s="45" t="s">
        <v>720</v>
      </c>
      <c r="G61" s="49">
        <v>38.4</v>
      </c>
      <c r="H61" s="45" t="s">
        <v>720</v>
      </c>
      <c r="I61" s="48">
        <v>38.4</v>
      </c>
      <c r="J61" s="19">
        <f t="shared" si="0"/>
        <v>61.44</v>
      </c>
    </row>
    <row r="62" spans="1:10" ht="42.75" x14ac:dyDescent="0.25">
      <c r="A62" s="53" t="s">
        <v>932</v>
      </c>
      <c r="B62" s="44" t="s">
        <v>963</v>
      </c>
      <c r="C62" s="45" t="s">
        <v>964</v>
      </c>
      <c r="D62" s="46">
        <v>1</v>
      </c>
      <c r="E62" s="44" t="s">
        <v>719</v>
      </c>
      <c r="F62" s="45" t="s">
        <v>720</v>
      </c>
      <c r="G62" s="49">
        <v>28.08</v>
      </c>
      <c r="H62" s="45" t="s">
        <v>720</v>
      </c>
      <c r="I62" s="48">
        <v>28.08</v>
      </c>
      <c r="J62" s="19">
        <f t="shared" si="0"/>
        <v>44.927999999999997</v>
      </c>
    </row>
    <row r="63" spans="1:10" ht="42.75" x14ac:dyDescent="0.25">
      <c r="A63" s="53" t="s">
        <v>932</v>
      </c>
      <c r="B63" s="44" t="s">
        <v>965</v>
      </c>
      <c r="C63" s="45" t="s">
        <v>966</v>
      </c>
      <c r="D63" s="46">
        <v>1</v>
      </c>
      <c r="E63" s="44" t="s">
        <v>719</v>
      </c>
      <c r="F63" s="45" t="s">
        <v>720</v>
      </c>
      <c r="G63" s="49">
        <v>86.89</v>
      </c>
      <c r="H63" s="45" t="s">
        <v>720</v>
      </c>
      <c r="I63" s="48">
        <v>86.89</v>
      </c>
      <c r="J63" s="19">
        <f t="shared" si="0"/>
        <v>139.024</v>
      </c>
    </row>
    <row r="64" spans="1:10" ht="42.75" x14ac:dyDescent="0.25">
      <c r="A64" s="53" t="s">
        <v>932</v>
      </c>
      <c r="B64" s="44" t="s">
        <v>967</v>
      </c>
      <c r="C64" s="45" t="s">
        <v>968</v>
      </c>
      <c r="D64" s="46">
        <v>1</v>
      </c>
      <c r="E64" s="44" t="s">
        <v>719</v>
      </c>
      <c r="F64" s="45" t="s">
        <v>720</v>
      </c>
      <c r="G64" s="47">
        <v>278.41000000000003</v>
      </c>
      <c r="H64" s="45" t="s">
        <v>720</v>
      </c>
      <c r="I64" s="48">
        <v>278.41000000000003</v>
      </c>
      <c r="J64" s="19">
        <f t="shared" si="0"/>
        <v>445.45600000000007</v>
      </c>
    </row>
    <row r="65" spans="1:10" ht="57" x14ac:dyDescent="0.25">
      <c r="A65" s="53" t="s">
        <v>932</v>
      </c>
      <c r="B65" s="44" t="s">
        <v>969</v>
      </c>
      <c r="C65" s="45" t="s">
        <v>970</v>
      </c>
      <c r="D65" s="46">
        <v>1</v>
      </c>
      <c r="E65" s="44" t="s">
        <v>719</v>
      </c>
      <c r="F65" s="45" t="s">
        <v>720</v>
      </c>
      <c r="G65" s="49">
        <v>6.16</v>
      </c>
      <c r="H65" s="45" t="s">
        <v>720</v>
      </c>
      <c r="I65" s="48">
        <v>6.16</v>
      </c>
      <c r="J65" s="19">
        <f t="shared" si="0"/>
        <v>9.8560000000000016</v>
      </c>
    </row>
    <row r="66" spans="1:10" ht="57" x14ac:dyDescent="0.25">
      <c r="A66" s="53" t="s">
        <v>932</v>
      </c>
      <c r="B66" s="44" t="s">
        <v>971</v>
      </c>
      <c r="C66" s="45" t="s">
        <v>972</v>
      </c>
      <c r="D66" s="46">
        <v>1</v>
      </c>
      <c r="E66" s="44" t="s">
        <v>719</v>
      </c>
      <c r="F66" s="45" t="s">
        <v>720</v>
      </c>
      <c r="G66" s="49">
        <v>9.98</v>
      </c>
      <c r="H66" s="45" t="s">
        <v>720</v>
      </c>
      <c r="I66" s="48">
        <v>9.98</v>
      </c>
      <c r="J66" s="19">
        <f t="shared" si="0"/>
        <v>15.968000000000002</v>
      </c>
    </row>
    <row r="67" spans="1:10" ht="71.25" x14ac:dyDescent="0.25">
      <c r="A67" s="53" t="s">
        <v>932</v>
      </c>
      <c r="B67" s="44" t="s">
        <v>973</v>
      </c>
      <c r="C67" s="45" t="s">
        <v>974</v>
      </c>
      <c r="D67" s="46">
        <v>1</v>
      </c>
      <c r="E67" s="44" t="s">
        <v>719</v>
      </c>
      <c r="F67" s="45" t="s">
        <v>720</v>
      </c>
      <c r="G67" s="49">
        <v>4.8</v>
      </c>
      <c r="H67" s="45" t="s">
        <v>720</v>
      </c>
      <c r="I67" s="48">
        <v>4.8</v>
      </c>
      <c r="J67" s="19">
        <f t="shared" si="0"/>
        <v>7.68</v>
      </c>
    </row>
    <row r="68" spans="1:10" ht="57" x14ac:dyDescent="0.25">
      <c r="A68" s="53" t="s">
        <v>932</v>
      </c>
      <c r="B68" s="44" t="s">
        <v>975</v>
      </c>
      <c r="C68" s="45" t="s">
        <v>976</v>
      </c>
      <c r="D68" s="46">
        <v>1</v>
      </c>
      <c r="E68" s="44" t="s">
        <v>719</v>
      </c>
      <c r="F68" s="45" t="s">
        <v>720</v>
      </c>
      <c r="G68" s="49">
        <v>6.92</v>
      </c>
      <c r="H68" s="45" t="s">
        <v>720</v>
      </c>
      <c r="I68" s="48">
        <v>6.92</v>
      </c>
      <c r="J68" s="19">
        <f t="shared" ref="J68:J81" si="1">(G68*1.6)</f>
        <v>11.072000000000001</v>
      </c>
    </row>
    <row r="69" spans="1:10" ht="57" x14ac:dyDescent="0.25">
      <c r="A69" s="53" t="s">
        <v>932</v>
      </c>
      <c r="B69" s="44" t="s">
        <v>977</v>
      </c>
      <c r="C69" s="45" t="s">
        <v>978</v>
      </c>
      <c r="D69" s="46">
        <v>1</v>
      </c>
      <c r="E69" s="44" t="s">
        <v>719</v>
      </c>
      <c r="F69" s="45" t="s">
        <v>720</v>
      </c>
      <c r="G69" s="49">
        <v>6.54</v>
      </c>
      <c r="H69" s="45" t="s">
        <v>720</v>
      </c>
      <c r="I69" s="48">
        <v>6.54</v>
      </c>
      <c r="J69" s="19">
        <f t="shared" si="1"/>
        <v>10.464</v>
      </c>
    </row>
    <row r="70" spans="1:10" ht="128.25" x14ac:dyDescent="0.25">
      <c r="A70" s="53" t="s">
        <v>932</v>
      </c>
      <c r="B70" s="44" t="s">
        <v>979</v>
      </c>
      <c r="C70" s="45" t="s">
        <v>980</v>
      </c>
      <c r="D70" s="46">
        <v>1</v>
      </c>
      <c r="E70" s="44" t="s">
        <v>719</v>
      </c>
      <c r="F70" s="45" t="s">
        <v>720</v>
      </c>
      <c r="G70" s="47">
        <v>157.76</v>
      </c>
      <c r="H70" s="45" t="s">
        <v>720</v>
      </c>
      <c r="I70" s="48">
        <v>157.76</v>
      </c>
      <c r="J70" s="19">
        <f t="shared" si="1"/>
        <v>252.416</v>
      </c>
    </row>
    <row r="71" spans="1:10" ht="114" x14ac:dyDescent="0.25">
      <c r="A71" s="53" t="s">
        <v>932</v>
      </c>
      <c r="B71" s="44" t="s">
        <v>981</v>
      </c>
      <c r="C71" s="30" t="s">
        <v>982</v>
      </c>
      <c r="D71" s="46">
        <v>1</v>
      </c>
      <c r="E71" s="44" t="s">
        <v>719</v>
      </c>
      <c r="F71" s="45" t="s">
        <v>720</v>
      </c>
      <c r="G71" s="47">
        <v>172.04</v>
      </c>
      <c r="H71" s="45" t="s">
        <v>720</v>
      </c>
      <c r="I71" s="48">
        <v>172.04</v>
      </c>
      <c r="J71" s="19">
        <f t="shared" si="1"/>
        <v>275.26400000000001</v>
      </c>
    </row>
    <row r="72" spans="1:10" ht="71.25" x14ac:dyDescent="0.25">
      <c r="A72" s="53" t="s">
        <v>932</v>
      </c>
      <c r="B72" s="44" t="s">
        <v>983</v>
      </c>
      <c r="C72" s="45" t="s">
        <v>984</v>
      </c>
      <c r="D72" s="46">
        <v>1</v>
      </c>
      <c r="E72" s="44" t="s">
        <v>719</v>
      </c>
      <c r="F72" s="45" t="s">
        <v>720</v>
      </c>
      <c r="G72" s="47">
        <v>210.37</v>
      </c>
      <c r="H72" s="45" t="s">
        <v>720</v>
      </c>
      <c r="I72" s="48">
        <v>210.37</v>
      </c>
      <c r="J72" s="19">
        <f t="shared" si="1"/>
        <v>336.59200000000004</v>
      </c>
    </row>
    <row r="73" spans="1:10" ht="128.25" x14ac:dyDescent="0.25">
      <c r="A73" s="53" t="s">
        <v>932</v>
      </c>
      <c r="B73" s="44" t="s">
        <v>985</v>
      </c>
      <c r="C73" s="45" t="s">
        <v>986</v>
      </c>
      <c r="D73" s="46">
        <v>25</v>
      </c>
      <c r="E73" s="44" t="s">
        <v>719</v>
      </c>
      <c r="F73" s="45" t="s">
        <v>720</v>
      </c>
      <c r="G73" s="49">
        <v>68.61</v>
      </c>
      <c r="H73" s="45" t="s">
        <v>720</v>
      </c>
      <c r="I73" s="51">
        <v>1715.25</v>
      </c>
      <c r="J73" s="19">
        <f t="shared" si="1"/>
        <v>109.77600000000001</v>
      </c>
    </row>
    <row r="74" spans="1:10" ht="71.25" x14ac:dyDescent="0.25">
      <c r="A74" s="53" t="s">
        <v>932</v>
      </c>
      <c r="B74" s="44" t="s">
        <v>987</v>
      </c>
      <c r="C74" s="45" t="s">
        <v>988</v>
      </c>
      <c r="D74" s="46">
        <v>1</v>
      </c>
      <c r="E74" s="44" t="s">
        <v>719</v>
      </c>
      <c r="F74" s="45" t="s">
        <v>720</v>
      </c>
      <c r="G74" s="49">
        <v>37.74</v>
      </c>
      <c r="H74" s="45" t="s">
        <v>720</v>
      </c>
      <c r="I74" s="48">
        <v>37.74</v>
      </c>
      <c r="J74" s="19">
        <f t="shared" si="1"/>
        <v>60.384000000000007</v>
      </c>
    </row>
    <row r="75" spans="1:10" ht="114" x14ac:dyDescent="0.25">
      <c r="A75" s="53" t="s">
        <v>932</v>
      </c>
      <c r="B75" s="44" t="s">
        <v>989</v>
      </c>
      <c r="C75" s="45" t="s">
        <v>990</v>
      </c>
      <c r="D75" s="46">
        <v>1</v>
      </c>
      <c r="E75" s="44" t="s">
        <v>719</v>
      </c>
      <c r="F75" s="45" t="s">
        <v>720</v>
      </c>
      <c r="G75" s="49">
        <v>30.07</v>
      </c>
      <c r="H75" s="45" t="s">
        <v>720</v>
      </c>
      <c r="I75" s="48">
        <v>30.07</v>
      </c>
      <c r="J75" s="19">
        <f t="shared" si="1"/>
        <v>48.112000000000002</v>
      </c>
    </row>
    <row r="76" spans="1:10" ht="57" x14ac:dyDescent="0.25">
      <c r="A76" s="53" t="s">
        <v>932</v>
      </c>
      <c r="B76" s="44" t="s">
        <v>991</v>
      </c>
      <c r="C76" s="45" t="s">
        <v>992</v>
      </c>
      <c r="D76" s="46">
        <v>1</v>
      </c>
      <c r="E76" s="44" t="s">
        <v>719</v>
      </c>
      <c r="F76" s="45" t="s">
        <v>720</v>
      </c>
      <c r="G76" s="49">
        <v>56.27</v>
      </c>
      <c r="H76" s="45" t="s">
        <v>720</v>
      </c>
      <c r="I76" s="48">
        <v>56.27</v>
      </c>
      <c r="J76" s="19">
        <f t="shared" si="1"/>
        <v>90.032000000000011</v>
      </c>
    </row>
    <row r="77" spans="1:10" ht="99.75" x14ac:dyDescent="0.25">
      <c r="A77" s="53" t="s">
        <v>932</v>
      </c>
      <c r="B77" s="44" t="s">
        <v>993</v>
      </c>
      <c r="C77" s="45" t="s">
        <v>994</v>
      </c>
      <c r="D77" s="46">
        <v>1</v>
      </c>
      <c r="E77" s="44" t="s">
        <v>719</v>
      </c>
      <c r="F77" s="45" t="s">
        <v>720</v>
      </c>
      <c r="G77" s="47">
        <v>342.81</v>
      </c>
      <c r="H77" s="45" t="s">
        <v>720</v>
      </c>
      <c r="I77" s="48">
        <v>342.81</v>
      </c>
      <c r="J77" s="19">
        <f t="shared" si="1"/>
        <v>548.49599999999998</v>
      </c>
    </row>
    <row r="78" spans="1:10" ht="99.75" x14ac:dyDescent="0.25">
      <c r="A78" s="53" t="s">
        <v>932</v>
      </c>
      <c r="B78" s="44" t="s">
        <v>995</v>
      </c>
      <c r="C78" s="45" t="s">
        <v>996</v>
      </c>
      <c r="D78" s="46">
        <v>6</v>
      </c>
      <c r="E78" s="44" t="s">
        <v>719</v>
      </c>
      <c r="F78" s="45" t="s">
        <v>720</v>
      </c>
      <c r="G78" s="47">
        <v>145</v>
      </c>
      <c r="H78" s="45" t="s">
        <v>720</v>
      </c>
      <c r="I78" s="48">
        <v>870</v>
      </c>
      <c r="J78" s="19">
        <f t="shared" si="1"/>
        <v>232</v>
      </c>
    </row>
    <row r="79" spans="1:10" ht="99.75" x14ac:dyDescent="0.25">
      <c r="A79" s="53" t="s">
        <v>932</v>
      </c>
      <c r="B79" s="44" t="s">
        <v>997</v>
      </c>
      <c r="C79" s="30" t="s">
        <v>998</v>
      </c>
      <c r="D79" s="46">
        <v>6</v>
      </c>
      <c r="E79" s="44" t="s">
        <v>719</v>
      </c>
      <c r="F79" s="45" t="s">
        <v>720</v>
      </c>
      <c r="G79" s="47">
        <v>155</v>
      </c>
      <c r="H79" s="45" t="s">
        <v>720</v>
      </c>
      <c r="I79" s="48">
        <v>930</v>
      </c>
      <c r="J79" s="19">
        <f t="shared" si="1"/>
        <v>248</v>
      </c>
    </row>
    <row r="80" spans="1:10" x14ac:dyDescent="0.25">
      <c r="A80" s="40"/>
      <c r="B80" s="40"/>
      <c r="C80" s="45" t="s">
        <v>999</v>
      </c>
      <c r="D80" s="40"/>
      <c r="E80" s="40"/>
      <c r="F80" s="40"/>
      <c r="G80" s="40"/>
      <c r="H80" s="40"/>
      <c r="I80" s="40"/>
      <c r="J80" s="19">
        <f t="shared" si="1"/>
        <v>0</v>
      </c>
    </row>
    <row r="81" spans="1:10" ht="99.75" x14ac:dyDescent="0.25">
      <c r="A81" s="53" t="s">
        <v>932</v>
      </c>
      <c r="B81" s="44" t="s">
        <v>1000</v>
      </c>
      <c r="C81" s="45" t="s">
        <v>1001</v>
      </c>
      <c r="D81" s="46">
        <v>6</v>
      </c>
      <c r="E81" s="44" t="s">
        <v>719</v>
      </c>
      <c r="F81" s="45" t="s">
        <v>720</v>
      </c>
      <c r="G81" s="47">
        <v>226</v>
      </c>
      <c r="H81" s="45" t="s">
        <v>720</v>
      </c>
      <c r="I81" s="51">
        <v>1356</v>
      </c>
      <c r="J81" s="19">
        <f t="shared" si="1"/>
        <v>361.6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6B87-4A2A-4A56-8481-B14351FA84A9}">
  <dimension ref="A1:I42"/>
  <sheetViews>
    <sheetView workbookViewId="0">
      <selection activeCell="L2" sqref="L2"/>
    </sheetView>
  </sheetViews>
  <sheetFormatPr baseColWidth="10" defaultRowHeight="15" x14ac:dyDescent="0.25"/>
  <sheetData>
    <row r="1" spans="1:9" ht="39.75" customHeight="1" x14ac:dyDescent="0.25">
      <c r="G1" s="1" t="s">
        <v>713</v>
      </c>
      <c r="I1" s="12" t="s">
        <v>714</v>
      </c>
    </row>
    <row r="2" spans="1:9" ht="85.5" x14ac:dyDescent="0.25">
      <c r="A2" s="14"/>
      <c r="B2" s="44" t="s">
        <v>1002</v>
      </c>
      <c r="C2" s="45" t="s">
        <v>1003</v>
      </c>
      <c r="D2" s="46">
        <v>1</v>
      </c>
      <c r="E2" s="44" t="s">
        <v>719</v>
      </c>
      <c r="F2" s="45" t="s">
        <v>720</v>
      </c>
      <c r="G2" s="56">
        <v>973</v>
      </c>
      <c r="H2" s="54" t="s">
        <v>1083</v>
      </c>
      <c r="I2" s="19">
        <f>(G2*1.3)</f>
        <v>1264.9000000000001</v>
      </c>
    </row>
    <row r="3" spans="1:9" ht="71.25" x14ac:dyDescent="0.25">
      <c r="A3" s="14"/>
      <c r="B3" s="44" t="s">
        <v>1004</v>
      </c>
      <c r="C3" s="45" t="s">
        <v>1005</v>
      </c>
      <c r="D3" s="46">
        <v>1</v>
      </c>
      <c r="E3" s="44" t="s">
        <v>719</v>
      </c>
      <c r="F3" s="45" t="s">
        <v>720</v>
      </c>
      <c r="G3" s="57">
        <v>1051.43</v>
      </c>
      <c r="H3" s="53" t="s">
        <v>1006</v>
      </c>
      <c r="I3" s="19">
        <f t="shared" ref="I3:I42" si="0">(G3*1.3)</f>
        <v>1366.8590000000002</v>
      </c>
    </row>
    <row r="4" spans="1:9" ht="85.5" x14ac:dyDescent="0.25">
      <c r="A4" s="14"/>
      <c r="B4" s="44" t="s">
        <v>1007</v>
      </c>
      <c r="C4" s="45" t="s">
        <v>1008</v>
      </c>
      <c r="D4" s="46">
        <v>1</v>
      </c>
      <c r="E4" s="44" t="s">
        <v>1009</v>
      </c>
      <c r="F4" s="45" t="s">
        <v>720</v>
      </c>
      <c r="G4" s="56">
        <v>304.45999999999998</v>
      </c>
      <c r="H4" s="54" t="s">
        <v>1084</v>
      </c>
      <c r="I4" s="19">
        <f t="shared" si="0"/>
        <v>395.798</v>
      </c>
    </row>
    <row r="5" spans="1:9" ht="71.25" x14ac:dyDescent="0.25">
      <c r="A5" s="14"/>
      <c r="B5" s="44" t="s">
        <v>1010</v>
      </c>
      <c r="C5" s="45" t="s">
        <v>1011</v>
      </c>
      <c r="D5" s="46">
        <v>1</v>
      </c>
      <c r="E5" s="44" t="s">
        <v>719</v>
      </c>
      <c r="F5" s="45" t="s">
        <v>720</v>
      </c>
      <c r="G5" s="58">
        <v>39.049999999999997</v>
      </c>
      <c r="H5" s="54" t="s">
        <v>1085</v>
      </c>
      <c r="I5" s="19">
        <f t="shared" si="0"/>
        <v>50.765000000000001</v>
      </c>
    </row>
    <row r="6" spans="1:9" ht="71.25" x14ac:dyDescent="0.25">
      <c r="A6" s="14"/>
      <c r="B6" s="44" t="s">
        <v>1012</v>
      </c>
      <c r="C6" s="45" t="s">
        <v>1013</v>
      </c>
      <c r="D6" s="46">
        <v>1</v>
      </c>
      <c r="E6" s="44" t="s">
        <v>719</v>
      </c>
      <c r="F6" s="45" t="s">
        <v>720</v>
      </c>
      <c r="G6" s="58">
        <v>45.34</v>
      </c>
      <c r="H6" s="54" t="s">
        <v>1086</v>
      </c>
      <c r="I6" s="19">
        <f t="shared" si="0"/>
        <v>58.942000000000007</v>
      </c>
    </row>
    <row r="7" spans="1:9" ht="114" x14ac:dyDescent="0.25">
      <c r="A7" s="14"/>
      <c r="B7" s="44" t="s">
        <v>1014</v>
      </c>
      <c r="C7" s="45" t="s">
        <v>1015</v>
      </c>
      <c r="D7" s="46">
        <v>1</v>
      </c>
      <c r="E7" s="44" t="s">
        <v>719</v>
      </c>
      <c r="F7" s="45" t="s">
        <v>720</v>
      </c>
      <c r="G7" s="56">
        <v>720.95</v>
      </c>
      <c r="H7" s="54" t="s">
        <v>1087</v>
      </c>
      <c r="I7" s="19">
        <f t="shared" si="0"/>
        <v>937.23500000000013</v>
      </c>
    </row>
    <row r="8" spans="1:9" ht="71.25" x14ac:dyDescent="0.25">
      <c r="A8" s="14"/>
      <c r="B8" s="44" t="s">
        <v>1016</v>
      </c>
      <c r="C8" s="45" t="s">
        <v>1017</v>
      </c>
      <c r="D8" s="46">
        <v>1</v>
      </c>
      <c r="E8" s="44" t="s">
        <v>719</v>
      </c>
      <c r="F8" s="45" t="s">
        <v>720</v>
      </c>
      <c r="G8" s="56">
        <v>210.96</v>
      </c>
      <c r="H8" s="54" t="s">
        <v>1088</v>
      </c>
      <c r="I8" s="19">
        <f t="shared" si="0"/>
        <v>274.24800000000005</v>
      </c>
    </row>
    <row r="9" spans="1:9" ht="71.25" x14ac:dyDescent="0.25">
      <c r="A9" s="14"/>
      <c r="B9" s="44" t="s">
        <v>1018</v>
      </c>
      <c r="C9" s="45" t="s">
        <v>1019</v>
      </c>
      <c r="D9" s="46">
        <v>1</v>
      </c>
      <c r="E9" s="44" t="s">
        <v>719</v>
      </c>
      <c r="F9" s="45" t="s">
        <v>720</v>
      </c>
      <c r="G9" s="56">
        <v>233.02</v>
      </c>
      <c r="H9" s="54" t="s">
        <v>1089</v>
      </c>
      <c r="I9" s="19">
        <f t="shared" si="0"/>
        <v>302.92600000000004</v>
      </c>
    </row>
    <row r="10" spans="1:9" ht="85.5" x14ac:dyDescent="0.25">
      <c r="A10" s="14"/>
      <c r="B10" s="44" t="s">
        <v>1020</v>
      </c>
      <c r="C10" s="45" t="s">
        <v>1021</v>
      </c>
      <c r="D10" s="46">
        <v>1</v>
      </c>
      <c r="E10" s="44" t="s">
        <v>719</v>
      </c>
      <c r="F10" s="45" t="s">
        <v>720</v>
      </c>
      <c r="G10" s="56">
        <v>569.02</v>
      </c>
      <c r="H10" s="54" t="s">
        <v>1090</v>
      </c>
      <c r="I10" s="19">
        <f t="shared" si="0"/>
        <v>739.726</v>
      </c>
    </row>
    <row r="11" spans="1:9" ht="114" x14ac:dyDescent="0.25">
      <c r="A11" s="14"/>
      <c r="B11" s="44" t="s">
        <v>1022</v>
      </c>
      <c r="C11" s="30" t="s">
        <v>1091</v>
      </c>
      <c r="D11" s="46">
        <v>1</v>
      </c>
      <c r="E11" s="44" t="s">
        <v>719</v>
      </c>
      <c r="F11" s="45" t="s">
        <v>720</v>
      </c>
      <c r="G11" s="56">
        <v>925.75</v>
      </c>
      <c r="H11" s="54" t="s">
        <v>1092</v>
      </c>
      <c r="I11" s="19">
        <f t="shared" si="0"/>
        <v>1203.4750000000001</v>
      </c>
    </row>
    <row r="12" spans="1:9" ht="28.5" x14ac:dyDescent="0.25">
      <c r="A12" s="14"/>
      <c r="B12" s="31"/>
      <c r="C12" s="45" t="s">
        <v>1023</v>
      </c>
      <c r="D12" s="31"/>
      <c r="E12" s="31"/>
      <c r="F12" s="31"/>
      <c r="G12" s="31"/>
      <c r="H12" s="31"/>
      <c r="I12" s="19">
        <f t="shared" si="0"/>
        <v>0</v>
      </c>
    </row>
    <row r="13" spans="1:9" ht="85.5" x14ac:dyDescent="0.25">
      <c r="A13" s="14"/>
      <c r="B13" s="44" t="s">
        <v>1024</v>
      </c>
      <c r="C13" s="45" t="s">
        <v>1025</v>
      </c>
      <c r="D13" s="46">
        <v>1</v>
      </c>
      <c r="E13" s="44" t="s">
        <v>719</v>
      </c>
      <c r="F13" s="45" t="s">
        <v>720</v>
      </c>
      <c r="G13" s="57">
        <v>1206.3399999999999</v>
      </c>
      <c r="H13" s="53" t="s">
        <v>1026</v>
      </c>
      <c r="I13" s="19">
        <f t="shared" si="0"/>
        <v>1568.242</v>
      </c>
    </row>
    <row r="14" spans="1:9" ht="114" x14ac:dyDescent="0.25">
      <c r="A14" s="14"/>
      <c r="B14" s="44" t="s">
        <v>1027</v>
      </c>
      <c r="C14" s="30" t="s">
        <v>1093</v>
      </c>
      <c r="D14" s="46">
        <v>1</v>
      </c>
      <c r="E14" s="44" t="s">
        <v>719</v>
      </c>
      <c r="F14" s="45" t="s">
        <v>720</v>
      </c>
      <c r="G14" s="57">
        <v>1669.69</v>
      </c>
      <c r="H14" s="53" t="s">
        <v>1028</v>
      </c>
      <c r="I14" s="19">
        <f t="shared" si="0"/>
        <v>2170.5970000000002</v>
      </c>
    </row>
    <row r="15" spans="1:9" ht="28.5" x14ac:dyDescent="0.25">
      <c r="A15" s="14"/>
      <c r="B15" s="40"/>
      <c r="C15" s="45" t="s">
        <v>1023</v>
      </c>
      <c r="D15" s="40"/>
      <c r="E15" s="40"/>
      <c r="F15" s="40"/>
      <c r="G15" s="40"/>
      <c r="H15" s="40"/>
      <c r="I15" s="19">
        <f t="shared" si="0"/>
        <v>0</v>
      </c>
    </row>
    <row r="16" spans="1:9" ht="57" x14ac:dyDescent="0.25">
      <c r="A16" s="14"/>
      <c r="B16" s="44" t="s">
        <v>1029</v>
      </c>
      <c r="C16" s="45" t="s">
        <v>1030</v>
      </c>
      <c r="D16" s="46">
        <v>1</v>
      </c>
      <c r="E16" s="44" t="s">
        <v>719</v>
      </c>
      <c r="F16" s="45" t="s">
        <v>720</v>
      </c>
      <c r="G16" s="58">
        <v>1.58</v>
      </c>
      <c r="H16" s="54" t="s">
        <v>1094</v>
      </c>
      <c r="I16" s="19">
        <f t="shared" si="0"/>
        <v>2.0540000000000003</v>
      </c>
    </row>
    <row r="17" spans="1:9" ht="57" x14ac:dyDescent="0.25">
      <c r="A17" s="14"/>
      <c r="B17" s="44" t="s">
        <v>1031</v>
      </c>
      <c r="C17" s="45" t="s">
        <v>1032</v>
      </c>
      <c r="D17" s="46">
        <v>1</v>
      </c>
      <c r="E17" s="44" t="s">
        <v>719</v>
      </c>
      <c r="F17" s="45" t="s">
        <v>720</v>
      </c>
      <c r="G17" s="58">
        <v>2.48</v>
      </c>
      <c r="H17" s="54" t="s">
        <v>1095</v>
      </c>
      <c r="I17" s="19">
        <f t="shared" si="0"/>
        <v>3.2240000000000002</v>
      </c>
    </row>
    <row r="18" spans="1:9" ht="57" x14ac:dyDescent="0.25">
      <c r="A18" s="14"/>
      <c r="B18" s="44" t="s">
        <v>1033</v>
      </c>
      <c r="C18" s="45" t="s">
        <v>1034</v>
      </c>
      <c r="D18" s="46">
        <v>1</v>
      </c>
      <c r="E18" s="44" t="s">
        <v>719</v>
      </c>
      <c r="F18" s="45" t="s">
        <v>720</v>
      </c>
      <c r="G18" s="58">
        <v>2.25</v>
      </c>
      <c r="H18" s="54" t="s">
        <v>1096</v>
      </c>
      <c r="I18" s="19">
        <f t="shared" si="0"/>
        <v>2.9250000000000003</v>
      </c>
    </row>
    <row r="19" spans="1:9" ht="57" x14ac:dyDescent="0.25">
      <c r="A19" s="14"/>
      <c r="B19" s="44" t="s">
        <v>1035</v>
      </c>
      <c r="C19" s="45" t="s">
        <v>1036</v>
      </c>
      <c r="D19" s="46">
        <v>1</v>
      </c>
      <c r="E19" s="44" t="s">
        <v>719</v>
      </c>
      <c r="F19" s="45" t="s">
        <v>720</v>
      </c>
      <c r="G19" s="58">
        <v>2.82</v>
      </c>
      <c r="H19" s="54" t="s">
        <v>1097</v>
      </c>
      <c r="I19" s="19">
        <f t="shared" si="0"/>
        <v>3.6659999999999999</v>
      </c>
    </row>
    <row r="20" spans="1:9" ht="57" x14ac:dyDescent="0.25">
      <c r="A20" s="14"/>
      <c r="B20" s="44" t="s">
        <v>1037</v>
      </c>
      <c r="C20" s="45" t="s">
        <v>1038</v>
      </c>
      <c r="D20" s="46">
        <v>1</v>
      </c>
      <c r="E20" s="44" t="s">
        <v>719</v>
      </c>
      <c r="F20" s="45" t="s">
        <v>720</v>
      </c>
      <c r="G20" s="58">
        <v>5.24</v>
      </c>
      <c r="H20" s="54" t="s">
        <v>1098</v>
      </c>
      <c r="I20" s="19">
        <f t="shared" si="0"/>
        <v>6.8120000000000003</v>
      </c>
    </row>
    <row r="21" spans="1:9" ht="57" x14ac:dyDescent="0.25">
      <c r="A21" s="14"/>
      <c r="B21" s="44" t="s">
        <v>1039</v>
      </c>
      <c r="C21" s="45" t="s">
        <v>1040</v>
      </c>
      <c r="D21" s="46">
        <v>1</v>
      </c>
      <c r="E21" s="44" t="s">
        <v>719</v>
      </c>
      <c r="F21" s="45" t="s">
        <v>720</v>
      </c>
      <c r="G21" s="58">
        <v>5.34</v>
      </c>
      <c r="H21" s="54" t="s">
        <v>1099</v>
      </c>
      <c r="I21" s="19">
        <f t="shared" si="0"/>
        <v>6.9420000000000002</v>
      </c>
    </row>
    <row r="22" spans="1:9" ht="57" x14ac:dyDescent="0.25">
      <c r="A22" s="14"/>
      <c r="B22" s="44" t="s">
        <v>1041</v>
      </c>
      <c r="C22" s="45" t="s">
        <v>1042</v>
      </c>
      <c r="D22" s="46">
        <v>1</v>
      </c>
      <c r="E22" s="44" t="s">
        <v>719</v>
      </c>
      <c r="F22" s="45" t="s">
        <v>720</v>
      </c>
      <c r="G22" s="58">
        <v>3.63</v>
      </c>
      <c r="H22" s="54" t="s">
        <v>1100</v>
      </c>
      <c r="I22" s="19">
        <f t="shared" si="0"/>
        <v>4.7190000000000003</v>
      </c>
    </row>
    <row r="23" spans="1:9" ht="57" x14ac:dyDescent="0.25">
      <c r="A23" s="14"/>
      <c r="B23" s="44" t="s">
        <v>1043</v>
      </c>
      <c r="C23" s="45" t="s">
        <v>1044</v>
      </c>
      <c r="D23" s="46">
        <v>1</v>
      </c>
      <c r="E23" s="44" t="s">
        <v>719</v>
      </c>
      <c r="F23" s="45" t="s">
        <v>720</v>
      </c>
      <c r="G23" s="58">
        <v>5.03</v>
      </c>
      <c r="H23" s="54" t="s">
        <v>1101</v>
      </c>
      <c r="I23" s="19">
        <f t="shared" si="0"/>
        <v>6.5390000000000006</v>
      </c>
    </row>
    <row r="24" spans="1:9" ht="57" x14ac:dyDescent="0.25">
      <c r="A24" s="14"/>
      <c r="B24" s="44" t="s">
        <v>1045</v>
      </c>
      <c r="C24" s="45" t="s">
        <v>1046</v>
      </c>
      <c r="D24" s="46">
        <v>1</v>
      </c>
      <c r="E24" s="44" t="s">
        <v>719</v>
      </c>
      <c r="F24" s="45" t="s">
        <v>720</v>
      </c>
      <c r="G24" s="58">
        <v>9.36</v>
      </c>
      <c r="H24" s="54" t="s">
        <v>1102</v>
      </c>
      <c r="I24" s="19">
        <f t="shared" si="0"/>
        <v>12.167999999999999</v>
      </c>
    </row>
    <row r="25" spans="1:9" ht="57" x14ac:dyDescent="0.25">
      <c r="A25" s="14"/>
      <c r="B25" s="44" t="s">
        <v>1047</v>
      </c>
      <c r="C25" s="45" t="s">
        <v>1048</v>
      </c>
      <c r="D25" s="46">
        <v>1</v>
      </c>
      <c r="E25" s="44" t="s">
        <v>719</v>
      </c>
      <c r="F25" s="45" t="s">
        <v>720</v>
      </c>
      <c r="G25" s="58">
        <v>11.49</v>
      </c>
      <c r="H25" s="54" t="s">
        <v>1103</v>
      </c>
      <c r="I25" s="19">
        <f t="shared" si="0"/>
        <v>14.937000000000001</v>
      </c>
    </row>
    <row r="26" spans="1:9" ht="57" x14ac:dyDescent="0.25">
      <c r="A26" s="14"/>
      <c r="B26" s="44" t="s">
        <v>1049</v>
      </c>
      <c r="C26" s="45" t="s">
        <v>1050</v>
      </c>
      <c r="D26" s="46">
        <v>1</v>
      </c>
      <c r="E26" s="44" t="s">
        <v>719</v>
      </c>
      <c r="F26" s="45" t="s">
        <v>720</v>
      </c>
      <c r="G26" s="58">
        <v>10</v>
      </c>
      <c r="H26" s="54" t="s">
        <v>1104</v>
      </c>
      <c r="I26" s="19">
        <f t="shared" si="0"/>
        <v>13</v>
      </c>
    </row>
    <row r="27" spans="1:9" ht="57" x14ac:dyDescent="0.25">
      <c r="A27" s="14"/>
      <c r="B27" s="44" t="s">
        <v>1051</v>
      </c>
      <c r="C27" s="45" t="s">
        <v>1052</v>
      </c>
      <c r="D27" s="46">
        <v>1</v>
      </c>
      <c r="E27" s="44" t="s">
        <v>719</v>
      </c>
      <c r="F27" s="45" t="s">
        <v>720</v>
      </c>
      <c r="G27" s="58">
        <v>10.029999999999999</v>
      </c>
      <c r="H27" s="54" t="s">
        <v>1105</v>
      </c>
      <c r="I27" s="19">
        <f t="shared" si="0"/>
        <v>13.039</v>
      </c>
    </row>
    <row r="28" spans="1:9" ht="57" x14ac:dyDescent="0.25">
      <c r="A28" s="14"/>
      <c r="B28" s="44" t="s">
        <v>1053</v>
      </c>
      <c r="C28" s="45" t="s">
        <v>1054</v>
      </c>
      <c r="D28" s="46">
        <v>1</v>
      </c>
      <c r="E28" s="44" t="s">
        <v>719</v>
      </c>
      <c r="F28" s="45" t="s">
        <v>720</v>
      </c>
      <c r="G28" s="58">
        <v>6.66</v>
      </c>
      <c r="H28" s="54" t="s">
        <v>1106</v>
      </c>
      <c r="I28" s="19">
        <f t="shared" si="0"/>
        <v>8.6580000000000013</v>
      </c>
    </row>
    <row r="29" spans="1:9" ht="57" x14ac:dyDescent="0.25">
      <c r="A29" s="14"/>
      <c r="B29" s="44" t="s">
        <v>1055</v>
      </c>
      <c r="C29" s="45" t="s">
        <v>1056</v>
      </c>
      <c r="D29" s="46">
        <v>1</v>
      </c>
      <c r="E29" s="44" t="s">
        <v>719</v>
      </c>
      <c r="F29" s="45" t="s">
        <v>720</v>
      </c>
      <c r="G29" s="58">
        <v>27.29</v>
      </c>
      <c r="H29" s="54" t="s">
        <v>1107</v>
      </c>
      <c r="I29" s="19">
        <f t="shared" si="0"/>
        <v>35.476999999999997</v>
      </c>
    </row>
    <row r="30" spans="1:9" ht="57" x14ac:dyDescent="0.25">
      <c r="A30" s="14"/>
      <c r="B30" s="44" t="s">
        <v>1057</v>
      </c>
      <c r="C30" s="45" t="s">
        <v>1058</v>
      </c>
      <c r="D30" s="46">
        <v>1</v>
      </c>
      <c r="E30" s="44" t="s">
        <v>719</v>
      </c>
      <c r="F30" s="45" t="s">
        <v>720</v>
      </c>
      <c r="G30" s="58">
        <v>17.75</v>
      </c>
      <c r="H30" s="54" t="s">
        <v>1108</v>
      </c>
      <c r="I30" s="19">
        <f t="shared" si="0"/>
        <v>23.074999999999999</v>
      </c>
    </row>
    <row r="31" spans="1:9" ht="57" x14ac:dyDescent="0.25">
      <c r="A31" s="14"/>
      <c r="B31" s="44" t="s">
        <v>1059</v>
      </c>
      <c r="C31" s="45" t="s">
        <v>1060</v>
      </c>
      <c r="D31" s="46">
        <v>1</v>
      </c>
      <c r="E31" s="44" t="s">
        <v>719</v>
      </c>
      <c r="F31" s="45" t="s">
        <v>720</v>
      </c>
      <c r="G31" s="58">
        <v>32.79</v>
      </c>
      <c r="H31" s="54" t="s">
        <v>1109</v>
      </c>
      <c r="I31" s="19">
        <f t="shared" si="0"/>
        <v>42.627000000000002</v>
      </c>
    </row>
    <row r="32" spans="1:9" ht="57" x14ac:dyDescent="0.25">
      <c r="A32" s="14"/>
      <c r="B32" s="44" t="s">
        <v>1061</v>
      </c>
      <c r="C32" s="45" t="s">
        <v>1062</v>
      </c>
      <c r="D32" s="46">
        <v>1</v>
      </c>
      <c r="E32" s="44" t="s">
        <v>719</v>
      </c>
      <c r="F32" s="45" t="s">
        <v>720</v>
      </c>
      <c r="G32" s="58">
        <v>34.880000000000003</v>
      </c>
      <c r="H32" s="54" t="s">
        <v>1110</v>
      </c>
      <c r="I32" s="19">
        <f t="shared" si="0"/>
        <v>45.344000000000008</v>
      </c>
    </row>
    <row r="33" spans="1:9" ht="57" x14ac:dyDescent="0.25">
      <c r="A33" s="14"/>
      <c r="B33" s="44" t="s">
        <v>1063</v>
      </c>
      <c r="C33" s="45" t="s">
        <v>1064</v>
      </c>
      <c r="D33" s="46">
        <v>1</v>
      </c>
      <c r="E33" s="44" t="s">
        <v>719</v>
      </c>
      <c r="F33" s="45" t="s">
        <v>720</v>
      </c>
      <c r="G33" s="58">
        <v>89.79</v>
      </c>
      <c r="H33" s="54" t="s">
        <v>1111</v>
      </c>
      <c r="I33" s="19">
        <f t="shared" si="0"/>
        <v>116.72700000000002</v>
      </c>
    </row>
    <row r="34" spans="1:9" ht="57" x14ac:dyDescent="0.25">
      <c r="A34" s="14"/>
      <c r="B34" s="44" t="s">
        <v>1065</v>
      </c>
      <c r="C34" s="45" t="s">
        <v>1066</v>
      </c>
      <c r="D34" s="46">
        <v>1</v>
      </c>
      <c r="E34" s="44" t="s">
        <v>719</v>
      </c>
      <c r="F34" s="45" t="s">
        <v>720</v>
      </c>
      <c r="G34" s="58">
        <v>1.87</v>
      </c>
      <c r="H34" s="54" t="s">
        <v>1112</v>
      </c>
      <c r="I34" s="19">
        <f t="shared" si="0"/>
        <v>2.431</v>
      </c>
    </row>
    <row r="35" spans="1:9" ht="57" x14ac:dyDescent="0.25">
      <c r="A35" s="14"/>
      <c r="B35" s="44" t="s">
        <v>1067</v>
      </c>
      <c r="C35" s="45" t="s">
        <v>1068</v>
      </c>
      <c r="D35" s="46">
        <v>1</v>
      </c>
      <c r="E35" s="44" t="s">
        <v>719</v>
      </c>
      <c r="F35" s="45" t="s">
        <v>720</v>
      </c>
      <c r="G35" s="58">
        <v>2.75</v>
      </c>
      <c r="H35" s="54" t="s">
        <v>1113</v>
      </c>
      <c r="I35" s="19">
        <f t="shared" si="0"/>
        <v>3.5750000000000002</v>
      </c>
    </row>
    <row r="36" spans="1:9" ht="57" x14ac:dyDescent="0.25">
      <c r="A36" s="14"/>
      <c r="B36" s="44" t="s">
        <v>1069</v>
      </c>
      <c r="C36" s="45" t="s">
        <v>1070</v>
      </c>
      <c r="D36" s="46">
        <v>1</v>
      </c>
      <c r="E36" s="44" t="s">
        <v>719</v>
      </c>
      <c r="F36" s="45" t="s">
        <v>720</v>
      </c>
      <c r="G36" s="58">
        <v>4.62</v>
      </c>
      <c r="H36" s="54" t="s">
        <v>1114</v>
      </c>
      <c r="I36" s="19">
        <f t="shared" si="0"/>
        <v>6.0060000000000002</v>
      </c>
    </row>
    <row r="37" spans="1:9" ht="42.75" x14ac:dyDescent="0.25">
      <c r="A37" s="14"/>
      <c r="B37" s="44" t="s">
        <v>1071</v>
      </c>
      <c r="C37" s="45" t="s">
        <v>1072</v>
      </c>
      <c r="D37" s="46">
        <v>1</v>
      </c>
      <c r="E37" s="44" t="s">
        <v>719</v>
      </c>
      <c r="F37" s="45" t="s">
        <v>720</v>
      </c>
      <c r="G37" s="58">
        <v>6.68</v>
      </c>
      <c r="H37" s="54" t="s">
        <v>1115</v>
      </c>
      <c r="I37" s="19">
        <f t="shared" si="0"/>
        <v>8.6839999999999993</v>
      </c>
    </row>
    <row r="38" spans="1:9" ht="57" x14ac:dyDescent="0.25">
      <c r="A38" s="14"/>
      <c r="B38" s="44" t="s">
        <v>1073</v>
      </c>
      <c r="C38" s="45" t="s">
        <v>1074</v>
      </c>
      <c r="D38" s="46">
        <v>1</v>
      </c>
      <c r="E38" s="44" t="s">
        <v>719</v>
      </c>
      <c r="F38" s="45" t="s">
        <v>720</v>
      </c>
      <c r="G38" s="58">
        <v>9.18</v>
      </c>
      <c r="H38" s="54" t="s">
        <v>1116</v>
      </c>
      <c r="I38" s="19">
        <f t="shared" si="0"/>
        <v>11.933999999999999</v>
      </c>
    </row>
    <row r="39" spans="1:9" ht="57" x14ac:dyDescent="0.25">
      <c r="A39" s="14"/>
      <c r="B39" s="44" t="s">
        <v>1075</v>
      </c>
      <c r="C39" s="45" t="s">
        <v>1076</v>
      </c>
      <c r="D39" s="46">
        <v>1</v>
      </c>
      <c r="E39" s="44" t="s">
        <v>719</v>
      </c>
      <c r="F39" s="45" t="s">
        <v>720</v>
      </c>
      <c r="G39" s="58">
        <v>12.07</v>
      </c>
      <c r="H39" s="54" t="s">
        <v>1117</v>
      </c>
      <c r="I39" s="19">
        <f t="shared" si="0"/>
        <v>15.691000000000001</v>
      </c>
    </row>
    <row r="40" spans="1:9" ht="57" x14ac:dyDescent="0.25">
      <c r="A40" s="14"/>
      <c r="B40" s="44" t="s">
        <v>1077</v>
      </c>
      <c r="C40" s="45" t="s">
        <v>1078</v>
      </c>
      <c r="D40" s="46">
        <v>100</v>
      </c>
      <c r="E40" s="44" t="s">
        <v>719</v>
      </c>
      <c r="F40" s="45" t="s">
        <v>720</v>
      </c>
      <c r="G40" s="58">
        <v>2.12</v>
      </c>
      <c r="H40" s="54" t="s">
        <v>1118</v>
      </c>
      <c r="I40" s="19">
        <f t="shared" si="0"/>
        <v>2.7560000000000002</v>
      </c>
    </row>
    <row r="41" spans="1:9" ht="57" x14ac:dyDescent="0.25">
      <c r="A41" s="14"/>
      <c r="B41" s="44" t="s">
        <v>1079</v>
      </c>
      <c r="C41" s="45" t="s">
        <v>1080</v>
      </c>
      <c r="D41" s="46">
        <v>1</v>
      </c>
      <c r="E41" s="44" t="s">
        <v>719</v>
      </c>
      <c r="F41" s="45" t="s">
        <v>720</v>
      </c>
      <c r="G41" s="58">
        <v>2.81</v>
      </c>
      <c r="H41" s="54" t="s">
        <v>1119</v>
      </c>
      <c r="I41" s="19">
        <f t="shared" si="0"/>
        <v>3.653</v>
      </c>
    </row>
    <row r="42" spans="1:9" ht="57" x14ac:dyDescent="0.25">
      <c r="A42" s="14"/>
      <c r="B42" s="44" t="s">
        <v>1081</v>
      </c>
      <c r="C42" s="45" t="s">
        <v>1082</v>
      </c>
      <c r="D42" s="46">
        <v>1</v>
      </c>
      <c r="E42" s="44" t="s">
        <v>719</v>
      </c>
      <c r="F42" s="45" t="s">
        <v>720</v>
      </c>
      <c r="G42" s="58">
        <v>5.32</v>
      </c>
      <c r="H42" s="54" t="s">
        <v>1120</v>
      </c>
      <c r="I42" s="19">
        <f t="shared" si="0"/>
        <v>6.9160000000000004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C28C-C039-41C1-A39C-5BDD33045A74}">
  <dimension ref="B1:J42"/>
  <sheetViews>
    <sheetView workbookViewId="0">
      <selection activeCell="L2" sqref="L2"/>
    </sheetView>
  </sheetViews>
  <sheetFormatPr baseColWidth="10" defaultRowHeight="15" x14ac:dyDescent="0.25"/>
  <sheetData>
    <row r="1" spans="2:10" x14ac:dyDescent="0.25">
      <c r="G1" s="1" t="s">
        <v>713</v>
      </c>
      <c r="J1" s="1" t="s">
        <v>714</v>
      </c>
    </row>
    <row r="2" spans="2:10" ht="57" x14ac:dyDescent="0.25">
      <c r="B2" s="44" t="s">
        <v>1121</v>
      </c>
      <c r="C2" s="45" t="s">
        <v>1122</v>
      </c>
      <c r="D2" s="46">
        <v>1</v>
      </c>
      <c r="E2" s="44" t="s">
        <v>719</v>
      </c>
      <c r="F2" s="45" t="s">
        <v>720</v>
      </c>
      <c r="G2" s="49">
        <v>8.77</v>
      </c>
      <c r="H2" s="45" t="s">
        <v>720</v>
      </c>
      <c r="I2" s="48">
        <v>8.77</v>
      </c>
      <c r="J2" s="19">
        <f>(G2*1.3)</f>
        <v>11.401</v>
      </c>
    </row>
    <row r="3" spans="2:10" ht="57" x14ac:dyDescent="0.25">
      <c r="B3" s="44" t="s">
        <v>1123</v>
      </c>
      <c r="C3" s="45" t="s">
        <v>1124</v>
      </c>
      <c r="D3" s="46">
        <v>1</v>
      </c>
      <c r="E3" s="44" t="s">
        <v>719</v>
      </c>
      <c r="F3" s="45" t="s">
        <v>720</v>
      </c>
      <c r="G3" s="49">
        <v>11.56</v>
      </c>
      <c r="H3" s="45" t="s">
        <v>720</v>
      </c>
      <c r="I3" s="48">
        <v>11.56</v>
      </c>
      <c r="J3" s="19">
        <f t="shared" ref="J3:J42" si="0">(G3*1.3)</f>
        <v>15.028</v>
      </c>
    </row>
    <row r="4" spans="2:10" ht="57" x14ac:dyDescent="0.25">
      <c r="B4" s="44" t="s">
        <v>1125</v>
      </c>
      <c r="C4" s="45" t="s">
        <v>1126</v>
      </c>
      <c r="D4" s="46">
        <v>1</v>
      </c>
      <c r="E4" s="44" t="s">
        <v>719</v>
      </c>
      <c r="F4" s="45" t="s">
        <v>720</v>
      </c>
      <c r="G4" s="49">
        <v>15.57</v>
      </c>
      <c r="H4" s="45" t="s">
        <v>720</v>
      </c>
      <c r="I4" s="48">
        <v>15.57</v>
      </c>
      <c r="J4" s="19">
        <f t="shared" si="0"/>
        <v>20.241</v>
      </c>
    </row>
    <row r="5" spans="2:10" ht="57" x14ac:dyDescent="0.25">
      <c r="B5" s="44" t="s">
        <v>1127</v>
      </c>
      <c r="C5" s="45" t="s">
        <v>1128</v>
      </c>
      <c r="D5" s="46">
        <v>1</v>
      </c>
      <c r="E5" s="44" t="s">
        <v>719</v>
      </c>
      <c r="F5" s="45" t="s">
        <v>720</v>
      </c>
      <c r="G5" s="49">
        <v>79.17</v>
      </c>
      <c r="H5" s="45" t="s">
        <v>720</v>
      </c>
      <c r="I5" s="48">
        <v>79.17</v>
      </c>
      <c r="J5" s="19">
        <f t="shared" si="0"/>
        <v>102.92100000000001</v>
      </c>
    </row>
    <row r="6" spans="2:10" ht="57" x14ac:dyDescent="0.25">
      <c r="B6" s="44" t="s">
        <v>1129</v>
      </c>
      <c r="C6" s="45" t="s">
        <v>1130</v>
      </c>
      <c r="D6" s="46">
        <v>1</v>
      </c>
      <c r="E6" s="44" t="s">
        <v>719</v>
      </c>
      <c r="F6" s="45" t="s">
        <v>720</v>
      </c>
      <c r="G6" s="49">
        <v>48.2</v>
      </c>
      <c r="H6" s="45" t="s">
        <v>720</v>
      </c>
      <c r="I6" s="48">
        <v>48.2</v>
      </c>
      <c r="J6" s="19">
        <f t="shared" si="0"/>
        <v>62.660000000000004</v>
      </c>
    </row>
    <row r="7" spans="2:10" ht="28.5" x14ac:dyDescent="0.25">
      <c r="B7" s="44" t="s">
        <v>1131</v>
      </c>
      <c r="C7" s="45" t="s">
        <v>1132</v>
      </c>
      <c r="D7" s="46">
        <v>1</v>
      </c>
      <c r="E7" s="44" t="s">
        <v>719</v>
      </c>
      <c r="F7" s="45" t="s">
        <v>720</v>
      </c>
      <c r="G7" s="49">
        <v>2.6</v>
      </c>
      <c r="H7" s="45" t="s">
        <v>720</v>
      </c>
      <c r="I7" s="48">
        <v>2.6</v>
      </c>
      <c r="J7" s="19">
        <f t="shared" si="0"/>
        <v>3.3800000000000003</v>
      </c>
    </row>
    <row r="8" spans="2:10" ht="28.5" x14ac:dyDescent="0.25">
      <c r="B8" s="44" t="s">
        <v>1133</v>
      </c>
      <c r="C8" s="45" t="s">
        <v>1134</v>
      </c>
      <c r="D8" s="46">
        <v>1</v>
      </c>
      <c r="E8" s="44" t="s">
        <v>719</v>
      </c>
      <c r="F8" s="45" t="s">
        <v>720</v>
      </c>
      <c r="G8" s="49">
        <v>3.59</v>
      </c>
      <c r="H8" s="45" t="s">
        <v>720</v>
      </c>
      <c r="I8" s="48">
        <v>3.59</v>
      </c>
      <c r="J8" s="19">
        <f t="shared" si="0"/>
        <v>4.6669999999999998</v>
      </c>
    </row>
    <row r="9" spans="2:10" ht="28.5" x14ac:dyDescent="0.25">
      <c r="B9" s="44" t="s">
        <v>1135</v>
      </c>
      <c r="C9" s="45" t="s">
        <v>1136</v>
      </c>
      <c r="D9" s="46">
        <v>1</v>
      </c>
      <c r="E9" s="44" t="s">
        <v>719</v>
      </c>
      <c r="F9" s="45" t="s">
        <v>720</v>
      </c>
      <c r="G9" s="49">
        <v>6.19</v>
      </c>
      <c r="H9" s="45" t="s">
        <v>720</v>
      </c>
      <c r="I9" s="48">
        <v>6.19</v>
      </c>
      <c r="J9" s="19">
        <f t="shared" si="0"/>
        <v>8.0470000000000006</v>
      </c>
    </row>
    <row r="10" spans="2:10" ht="28.5" x14ac:dyDescent="0.25">
      <c r="B10" s="44" t="s">
        <v>1137</v>
      </c>
      <c r="C10" s="45" t="s">
        <v>1138</v>
      </c>
      <c r="D10" s="46">
        <v>1</v>
      </c>
      <c r="E10" s="44" t="s">
        <v>719</v>
      </c>
      <c r="F10" s="45" t="s">
        <v>720</v>
      </c>
      <c r="G10" s="49">
        <v>11.88</v>
      </c>
      <c r="H10" s="45" t="s">
        <v>720</v>
      </c>
      <c r="I10" s="48">
        <v>11.88</v>
      </c>
      <c r="J10" s="19">
        <f t="shared" si="0"/>
        <v>15.444000000000001</v>
      </c>
    </row>
    <row r="11" spans="2:10" ht="28.5" x14ac:dyDescent="0.25">
      <c r="B11" s="44" t="s">
        <v>1139</v>
      </c>
      <c r="C11" s="45" t="s">
        <v>1140</v>
      </c>
      <c r="D11" s="46">
        <v>1</v>
      </c>
      <c r="E11" s="44" t="s">
        <v>719</v>
      </c>
      <c r="F11" s="45" t="s">
        <v>720</v>
      </c>
      <c r="G11" s="49">
        <v>13.69</v>
      </c>
      <c r="H11" s="45" t="s">
        <v>720</v>
      </c>
      <c r="I11" s="48">
        <v>13.69</v>
      </c>
      <c r="J11" s="19">
        <f t="shared" si="0"/>
        <v>17.797000000000001</v>
      </c>
    </row>
    <row r="12" spans="2:10" ht="28.5" x14ac:dyDescent="0.25">
      <c r="B12" s="44" t="s">
        <v>1141</v>
      </c>
      <c r="C12" s="45" t="s">
        <v>1142</v>
      </c>
      <c r="D12" s="46">
        <v>1</v>
      </c>
      <c r="E12" s="44" t="s">
        <v>719</v>
      </c>
      <c r="F12" s="45" t="s">
        <v>720</v>
      </c>
      <c r="G12" s="49">
        <v>20.71</v>
      </c>
      <c r="H12" s="45" t="s">
        <v>720</v>
      </c>
      <c r="I12" s="48">
        <v>20.71</v>
      </c>
      <c r="J12" s="19">
        <f t="shared" si="0"/>
        <v>26.923000000000002</v>
      </c>
    </row>
    <row r="13" spans="2:10" ht="28.5" x14ac:dyDescent="0.25">
      <c r="B13" s="44" t="s">
        <v>1143</v>
      </c>
      <c r="C13" s="45" t="s">
        <v>1144</v>
      </c>
      <c r="D13" s="46">
        <v>1</v>
      </c>
      <c r="E13" s="44" t="s">
        <v>719</v>
      </c>
      <c r="F13" s="45" t="s">
        <v>720</v>
      </c>
      <c r="G13" s="49">
        <v>60.4</v>
      </c>
      <c r="H13" s="45" t="s">
        <v>720</v>
      </c>
      <c r="I13" s="48">
        <v>60.4</v>
      </c>
      <c r="J13" s="19">
        <f t="shared" si="0"/>
        <v>78.52</v>
      </c>
    </row>
    <row r="14" spans="2:10" ht="57" x14ac:dyDescent="0.25">
      <c r="B14" s="44" t="s">
        <v>1145</v>
      </c>
      <c r="C14" s="45" t="s">
        <v>1146</v>
      </c>
      <c r="D14" s="46">
        <v>1</v>
      </c>
      <c r="E14" s="44" t="s">
        <v>719</v>
      </c>
      <c r="F14" s="45" t="s">
        <v>720</v>
      </c>
      <c r="G14" s="49">
        <v>2.6</v>
      </c>
      <c r="H14" s="45" t="s">
        <v>720</v>
      </c>
      <c r="I14" s="48">
        <v>2.6</v>
      </c>
      <c r="J14" s="19">
        <f t="shared" si="0"/>
        <v>3.3800000000000003</v>
      </c>
    </row>
    <row r="15" spans="2:10" ht="85.5" x14ac:dyDescent="0.25">
      <c r="B15" s="44" t="s">
        <v>1147</v>
      </c>
      <c r="C15" s="45" t="s">
        <v>1148</v>
      </c>
      <c r="D15" s="46">
        <v>1</v>
      </c>
      <c r="E15" s="44" t="s">
        <v>719</v>
      </c>
      <c r="F15" s="45" t="s">
        <v>720</v>
      </c>
      <c r="G15" s="49">
        <v>7.6</v>
      </c>
      <c r="H15" s="45" t="s">
        <v>720</v>
      </c>
      <c r="I15" s="48">
        <v>7.6</v>
      </c>
      <c r="J15" s="19">
        <f t="shared" si="0"/>
        <v>9.879999999999999</v>
      </c>
    </row>
    <row r="16" spans="2:10" ht="85.5" x14ac:dyDescent="0.25">
      <c r="B16" s="44" t="s">
        <v>1149</v>
      </c>
      <c r="C16" s="45" t="s">
        <v>1150</v>
      </c>
      <c r="D16" s="46">
        <v>1</v>
      </c>
      <c r="E16" s="44" t="s">
        <v>719</v>
      </c>
      <c r="F16" s="45" t="s">
        <v>720</v>
      </c>
      <c r="G16" s="49">
        <v>17.440000000000001</v>
      </c>
      <c r="H16" s="45" t="s">
        <v>720</v>
      </c>
      <c r="I16" s="48">
        <v>17.440000000000001</v>
      </c>
      <c r="J16" s="19">
        <f t="shared" si="0"/>
        <v>22.672000000000004</v>
      </c>
    </row>
    <row r="17" spans="2:10" ht="85.5" x14ac:dyDescent="0.25">
      <c r="B17" s="44" t="s">
        <v>1151</v>
      </c>
      <c r="C17" s="45" t="s">
        <v>1152</v>
      </c>
      <c r="D17" s="46">
        <v>1</v>
      </c>
      <c r="E17" s="44" t="s">
        <v>719</v>
      </c>
      <c r="F17" s="45" t="s">
        <v>720</v>
      </c>
      <c r="G17" s="49">
        <v>26.96</v>
      </c>
      <c r="H17" s="45" t="s">
        <v>720</v>
      </c>
      <c r="I17" s="48">
        <v>26.96</v>
      </c>
      <c r="J17" s="19">
        <f t="shared" si="0"/>
        <v>35.048000000000002</v>
      </c>
    </row>
    <row r="18" spans="2:10" ht="85.5" x14ac:dyDescent="0.25">
      <c r="B18" s="44" t="s">
        <v>1153</v>
      </c>
      <c r="C18" s="45" t="s">
        <v>1154</v>
      </c>
      <c r="D18" s="46">
        <v>1</v>
      </c>
      <c r="E18" s="44" t="s">
        <v>719</v>
      </c>
      <c r="F18" s="45" t="s">
        <v>720</v>
      </c>
      <c r="G18" s="49">
        <v>84.86</v>
      </c>
      <c r="H18" s="45" t="s">
        <v>720</v>
      </c>
      <c r="I18" s="48">
        <v>84.86</v>
      </c>
      <c r="J18" s="19">
        <f t="shared" si="0"/>
        <v>110.318</v>
      </c>
    </row>
    <row r="19" spans="2:10" ht="85.5" x14ac:dyDescent="0.25">
      <c r="B19" s="44" t="s">
        <v>1155</v>
      </c>
      <c r="C19" s="45" t="s">
        <v>1156</v>
      </c>
      <c r="D19" s="46">
        <v>1</v>
      </c>
      <c r="E19" s="44" t="s">
        <v>719</v>
      </c>
      <c r="F19" s="45" t="s">
        <v>720</v>
      </c>
      <c r="G19" s="49">
        <v>9.4</v>
      </c>
      <c r="H19" s="45" t="s">
        <v>720</v>
      </c>
      <c r="I19" s="48">
        <v>9.4</v>
      </c>
      <c r="J19" s="19">
        <f t="shared" si="0"/>
        <v>12.22</v>
      </c>
    </row>
    <row r="20" spans="2:10" ht="85.5" x14ac:dyDescent="0.25">
      <c r="B20" s="44" t="s">
        <v>1157</v>
      </c>
      <c r="C20" s="45" t="s">
        <v>1158</v>
      </c>
      <c r="D20" s="46">
        <v>1</v>
      </c>
      <c r="E20" s="44" t="s">
        <v>719</v>
      </c>
      <c r="F20" s="45" t="s">
        <v>720</v>
      </c>
      <c r="G20" s="49">
        <v>25.35</v>
      </c>
      <c r="H20" s="45" t="s">
        <v>720</v>
      </c>
      <c r="I20" s="48">
        <v>25.35</v>
      </c>
      <c r="J20" s="19">
        <f t="shared" si="0"/>
        <v>32.955000000000005</v>
      </c>
    </row>
    <row r="21" spans="2:10" ht="85.5" x14ac:dyDescent="0.25">
      <c r="B21" s="44" t="s">
        <v>1159</v>
      </c>
      <c r="C21" s="45" t="s">
        <v>1160</v>
      </c>
      <c r="D21" s="46">
        <v>1</v>
      </c>
      <c r="E21" s="44" t="s">
        <v>719</v>
      </c>
      <c r="F21" s="45" t="s">
        <v>720</v>
      </c>
      <c r="G21" s="49">
        <v>42.6</v>
      </c>
      <c r="H21" s="45" t="s">
        <v>720</v>
      </c>
      <c r="I21" s="48">
        <v>42.6</v>
      </c>
      <c r="J21" s="19">
        <f t="shared" si="0"/>
        <v>55.38</v>
      </c>
    </row>
    <row r="22" spans="2:10" ht="85.5" x14ac:dyDescent="0.25">
      <c r="B22" s="44" t="s">
        <v>1161</v>
      </c>
      <c r="C22" s="45" t="s">
        <v>1162</v>
      </c>
      <c r="D22" s="46">
        <v>1</v>
      </c>
      <c r="E22" s="44" t="s">
        <v>719</v>
      </c>
      <c r="F22" s="45" t="s">
        <v>720</v>
      </c>
      <c r="G22" s="58">
        <v>108.77</v>
      </c>
      <c r="H22" s="45" t="s">
        <v>720</v>
      </c>
      <c r="I22" s="48">
        <v>108.77</v>
      </c>
      <c r="J22" s="19">
        <f t="shared" si="0"/>
        <v>141.40100000000001</v>
      </c>
    </row>
    <row r="23" spans="2:10" ht="99.75" x14ac:dyDescent="0.25">
      <c r="B23" s="44" t="s">
        <v>1163</v>
      </c>
      <c r="C23" s="45" t="s">
        <v>1164</v>
      </c>
      <c r="D23" s="46">
        <v>1</v>
      </c>
      <c r="E23" s="44" t="s">
        <v>719</v>
      </c>
      <c r="F23" s="45" t="s">
        <v>720</v>
      </c>
      <c r="G23" s="49">
        <v>8.36</v>
      </c>
      <c r="H23" s="45" t="s">
        <v>720</v>
      </c>
      <c r="I23" s="48">
        <v>8.36</v>
      </c>
      <c r="J23" s="19">
        <f t="shared" si="0"/>
        <v>10.868</v>
      </c>
    </row>
    <row r="24" spans="2:10" ht="99.75" x14ac:dyDescent="0.25">
      <c r="B24" s="44" t="s">
        <v>1165</v>
      </c>
      <c r="C24" s="45" t="s">
        <v>1166</v>
      </c>
      <c r="D24" s="46">
        <v>1</v>
      </c>
      <c r="E24" s="44" t="s">
        <v>719</v>
      </c>
      <c r="F24" s="45" t="s">
        <v>720</v>
      </c>
      <c r="G24" s="49">
        <v>20.96</v>
      </c>
      <c r="H24" s="45" t="s">
        <v>720</v>
      </c>
      <c r="I24" s="48">
        <v>20.96</v>
      </c>
      <c r="J24" s="19">
        <f t="shared" si="0"/>
        <v>27.248000000000001</v>
      </c>
    </row>
    <row r="25" spans="2:10" ht="99.75" x14ac:dyDescent="0.25">
      <c r="B25" s="44" t="s">
        <v>1167</v>
      </c>
      <c r="C25" s="45" t="s">
        <v>1168</v>
      </c>
      <c r="D25" s="46">
        <v>1</v>
      </c>
      <c r="E25" s="44" t="s">
        <v>719</v>
      </c>
      <c r="F25" s="45" t="s">
        <v>720</v>
      </c>
      <c r="G25" s="49">
        <v>31.9</v>
      </c>
      <c r="H25" s="45" t="s">
        <v>720</v>
      </c>
      <c r="I25" s="48">
        <v>31.9</v>
      </c>
      <c r="J25" s="19">
        <f t="shared" si="0"/>
        <v>41.47</v>
      </c>
    </row>
    <row r="26" spans="2:10" ht="71.25" x14ac:dyDescent="0.25">
      <c r="B26" s="44" t="s">
        <v>1169</v>
      </c>
      <c r="C26" s="45" t="s">
        <v>1170</v>
      </c>
      <c r="D26" s="46">
        <v>1</v>
      </c>
      <c r="E26" s="44" t="s">
        <v>719</v>
      </c>
      <c r="F26" s="45" t="s">
        <v>720</v>
      </c>
      <c r="G26" s="49">
        <v>8.3800000000000008</v>
      </c>
      <c r="H26" s="45" t="s">
        <v>720</v>
      </c>
      <c r="I26" s="48">
        <v>8.3800000000000008</v>
      </c>
      <c r="J26" s="19">
        <f t="shared" si="0"/>
        <v>10.894000000000002</v>
      </c>
    </row>
    <row r="27" spans="2:10" ht="71.25" x14ac:dyDescent="0.25">
      <c r="B27" s="44" t="s">
        <v>1171</v>
      </c>
      <c r="C27" s="45" t="s">
        <v>1172</v>
      </c>
      <c r="D27" s="46">
        <v>1</v>
      </c>
      <c r="E27" s="44" t="s">
        <v>719</v>
      </c>
      <c r="F27" s="45" t="s">
        <v>720</v>
      </c>
      <c r="G27" s="49">
        <v>13.79</v>
      </c>
      <c r="H27" s="45" t="s">
        <v>720</v>
      </c>
      <c r="I27" s="48">
        <v>13.79</v>
      </c>
      <c r="J27" s="19">
        <f t="shared" si="0"/>
        <v>17.927</v>
      </c>
    </row>
    <row r="28" spans="2:10" ht="71.25" x14ac:dyDescent="0.25">
      <c r="B28" s="44" t="s">
        <v>1173</v>
      </c>
      <c r="C28" s="45" t="s">
        <v>1174</v>
      </c>
      <c r="D28" s="46">
        <v>1</v>
      </c>
      <c r="E28" s="44" t="s">
        <v>719</v>
      </c>
      <c r="F28" s="45" t="s">
        <v>720</v>
      </c>
      <c r="G28" s="49">
        <v>13.68</v>
      </c>
      <c r="H28" s="45" t="s">
        <v>720</v>
      </c>
      <c r="I28" s="48">
        <v>13.68</v>
      </c>
      <c r="J28" s="19">
        <f t="shared" si="0"/>
        <v>17.783999999999999</v>
      </c>
    </row>
    <row r="29" spans="2:10" ht="71.25" x14ac:dyDescent="0.25">
      <c r="B29" s="44" t="s">
        <v>1175</v>
      </c>
      <c r="C29" s="45" t="s">
        <v>1176</v>
      </c>
      <c r="D29" s="46">
        <v>1</v>
      </c>
      <c r="E29" s="44" t="s">
        <v>719</v>
      </c>
      <c r="F29" s="45" t="s">
        <v>720</v>
      </c>
      <c r="G29" s="49">
        <v>38.03</v>
      </c>
      <c r="H29" s="45" t="s">
        <v>720</v>
      </c>
      <c r="I29" s="48">
        <v>38.03</v>
      </c>
      <c r="J29" s="19">
        <f t="shared" si="0"/>
        <v>49.439</v>
      </c>
    </row>
    <row r="30" spans="2:10" ht="71.25" x14ac:dyDescent="0.25">
      <c r="B30" s="44" t="s">
        <v>1177</v>
      </c>
      <c r="C30" s="45" t="s">
        <v>1178</v>
      </c>
      <c r="D30" s="46">
        <v>1</v>
      </c>
      <c r="E30" s="44" t="s">
        <v>719</v>
      </c>
      <c r="F30" s="45" t="s">
        <v>720</v>
      </c>
      <c r="G30" s="49">
        <v>57.15</v>
      </c>
      <c r="H30" s="45" t="s">
        <v>720</v>
      </c>
      <c r="I30" s="48">
        <v>57.15</v>
      </c>
      <c r="J30" s="19">
        <f t="shared" si="0"/>
        <v>74.295000000000002</v>
      </c>
    </row>
    <row r="31" spans="2:10" ht="71.25" x14ac:dyDescent="0.25">
      <c r="B31" s="44" t="s">
        <v>1179</v>
      </c>
      <c r="C31" s="45" t="s">
        <v>1180</v>
      </c>
      <c r="D31" s="46">
        <v>1</v>
      </c>
      <c r="E31" s="44" t="s">
        <v>719</v>
      </c>
      <c r="F31" s="45" t="s">
        <v>720</v>
      </c>
      <c r="G31" s="58">
        <v>141.34</v>
      </c>
      <c r="H31" s="45" t="s">
        <v>720</v>
      </c>
      <c r="I31" s="48">
        <v>141.34</v>
      </c>
      <c r="J31" s="19">
        <f t="shared" si="0"/>
        <v>183.74200000000002</v>
      </c>
    </row>
    <row r="32" spans="2:10" ht="71.25" x14ac:dyDescent="0.25">
      <c r="B32" s="44" t="s">
        <v>1181</v>
      </c>
      <c r="C32" s="45" t="s">
        <v>1182</v>
      </c>
      <c r="D32" s="46">
        <v>1</v>
      </c>
      <c r="E32" s="44" t="s">
        <v>719</v>
      </c>
      <c r="F32" s="45" t="s">
        <v>720</v>
      </c>
      <c r="G32" s="49">
        <v>25</v>
      </c>
      <c r="H32" s="45" t="s">
        <v>720</v>
      </c>
      <c r="I32" s="48">
        <v>25</v>
      </c>
      <c r="J32" s="19">
        <f t="shared" si="0"/>
        <v>32.5</v>
      </c>
    </row>
    <row r="33" spans="2:10" ht="71.25" x14ac:dyDescent="0.25">
      <c r="B33" s="44" t="s">
        <v>1183</v>
      </c>
      <c r="C33" s="45" t="s">
        <v>1184</v>
      </c>
      <c r="D33" s="46">
        <v>1</v>
      </c>
      <c r="E33" s="44" t="s">
        <v>719</v>
      </c>
      <c r="F33" s="45" t="s">
        <v>720</v>
      </c>
      <c r="G33" s="49">
        <v>40.4</v>
      </c>
      <c r="H33" s="45" t="s">
        <v>720</v>
      </c>
      <c r="I33" s="48">
        <v>40.4</v>
      </c>
      <c r="J33" s="19">
        <f t="shared" si="0"/>
        <v>52.52</v>
      </c>
    </row>
    <row r="34" spans="2:10" ht="99.75" x14ac:dyDescent="0.25">
      <c r="B34" s="44" t="s">
        <v>1185</v>
      </c>
      <c r="C34" s="45" t="s">
        <v>1186</v>
      </c>
      <c r="D34" s="46">
        <v>1</v>
      </c>
      <c r="E34" s="44" t="s">
        <v>719</v>
      </c>
      <c r="F34" s="45" t="s">
        <v>720</v>
      </c>
      <c r="G34" s="49">
        <v>10.81</v>
      </c>
      <c r="H34" s="45" t="s">
        <v>720</v>
      </c>
      <c r="I34" s="48">
        <v>10.81</v>
      </c>
      <c r="J34" s="19">
        <f t="shared" si="0"/>
        <v>14.053000000000001</v>
      </c>
    </row>
    <row r="35" spans="2:10" ht="99.75" x14ac:dyDescent="0.25">
      <c r="B35" s="44" t="s">
        <v>1187</v>
      </c>
      <c r="C35" s="45" t="s">
        <v>1188</v>
      </c>
      <c r="D35" s="46">
        <v>1</v>
      </c>
      <c r="E35" s="44" t="s">
        <v>719</v>
      </c>
      <c r="F35" s="45" t="s">
        <v>720</v>
      </c>
      <c r="G35" s="49">
        <v>19.52</v>
      </c>
      <c r="H35" s="45" t="s">
        <v>720</v>
      </c>
      <c r="I35" s="48">
        <v>19.52</v>
      </c>
      <c r="J35" s="19">
        <f t="shared" si="0"/>
        <v>25.376000000000001</v>
      </c>
    </row>
    <row r="36" spans="2:10" ht="99.75" x14ac:dyDescent="0.25">
      <c r="B36" s="44" t="s">
        <v>1189</v>
      </c>
      <c r="C36" s="45" t="s">
        <v>1190</v>
      </c>
      <c r="D36" s="46">
        <v>1</v>
      </c>
      <c r="E36" s="44" t="s">
        <v>719</v>
      </c>
      <c r="F36" s="45" t="s">
        <v>720</v>
      </c>
      <c r="G36" s="49">
        <v>25.64</v>
      </c>
      <c r="H36" s="45" t="s">
        <v>720</v>
      </c>
      <c r="I36" s="48">
        <v>25.64</v>
      </c>
      <c r="J36" s="19">
        <f t="shared" si="0"/>
        <v>33.332000000000001</v>
      </c>
    </row>
    <row r="37" spans="2:10" ht="99.75" x14ac:dyDescent="0.25">
      <c r="B37" s="44" t="s">
        <v>1191</v>
      </c>
      <c r="C37" s="45" t="s">
        <v>1192</v>
      </c>
      <c r="D37" s="46">
        <v>1</v>
      </c>
      <c r="E37" s="44" t="s">
        <v>719</v>
      </c>
      <c r="F37" s="45" t="s">
        <v>720</v>
      </c>
      <c r="G37" s="49">
        <v>56.2</v>
      </c>
      <c r="H37" s="45" t="s">
        <v>720</v>
      </c>
      <c r="I37" s="48">
        <v>56.2</v>
      </c>
      <c r="J37" s="19">
        <f t="shared" si="0"/>
        <v>73.06</v>
      </c>
    </row>
    <row r="38" spans="2:10" ht="85.5" x14ac:dyDescent="0.25">
      <c r="B38" s="44" t="s">
        <v>1193</v>
      </c>
      <c r="C38" s="45" t="s">
        <v>1194</v>
      </c>
      <c r="D38" s="46">
        <v>12</v>
      </c>
      <c r="E38" s="44" t="s">
        <v>719</v>
      </c>
      <c r="F38" s="45" t="s">
        <v>720</v>
      </c>
      <c r="G38" s="49">
        <v>46.38</v>
      </c>
      <c r="H38" s="45" t="s">
        <v>720</v>
      </c>
      <c r="I38" s="48">
        <v>556.55999999999995</v>
      </c>
      <c r="J38" s="19">
        <f t="shared" si="0"/>
        <v>60.294000000000004</v>
      </c>
    </row>
    <row r="39" spans="2:10" ht="85.5" x14ac:dyDescent="0.25">
      <c r="B39" s="44" t="s">
        <v>1195</v>
      </c>
      <c r="C39" s="45" t="s">
        <v>1196</v>
      </c>
      <c r="D39" s="46">
        <v>12</v>
      </c>
      <c r="E39" s="44" t="s">
        <v>719</v>
      </c>
      <c r="F39" s="45" t="s">
        <v>720</v>
      </c>
      <c r="G39" s="49">
        <v>26.34</v>
      </c>
      <c r="H39" s="45" t="s">
        <v>720</v>
      </c>
      <c r="I39" s="48">
        <v>316.08</v>
      </c>
      <c r="J39" s="19">
        <f t="shared" si="0"/>
        <v>34.242000000000004</v>
      </c>
    </row>
    <row r="40" spans="2:10" ht="85.5" x14ac:dyDescent="0.25">
      <c r="B40" s="44" t="s">
        <v>1197</v>
      </c>
      <c r="C40" s="45" t="s">
        <v>1198</v>
      </c>
      <c r="D40" s="46">
        <v>12</v>
      </c>
      <c r="E40" s="44" t="s">
        <v>719</v>
      </c>
      <c r="F40" s="45" t="s">
        <v>720</v>
      </c>
      <c r="G40" s="49">
        <v>26.34</v>
      </c>
      <c r="H40" s="45" t="s">
        <v>720</v>
      </c>
      <c r="I40" s="48">
        <v>316.08</v>
      </c>
      <c r="J40" s="19">
        <f t="shared" si="0"/>
        <v>34.242000000000004</v>
      </c>
    </row>
    <row r="41" spans="2:10" ht="114" x14ac:dyDescent="0.25">
      <c r="B41" s="44" t="s">
        <v>1199</v>
      </c>
      <c r="C41" s="45" t="s">
        <v>1200</v>
      </c>
      <c r="D41" s="46">
        <v>12</v>
      </c>
      <c r="E41" s="44" t="s">
        <v>719</v>
      </c>
      <c r="F41" s="45" t="s">
        <v>720</v>
      </c>
      <c r="G41" s="49">
        <v>35.270000000000003</v>
      </c>
      <c r="H41" s="45" t="s">
        <v>720</v>
      </c>
      <c r="I41" s="48">
        <v>423.24</v>
      </c>
      <c r="J41" s="19">
        <f t="shared" si="0"/>
        <v>45.851000000000006</v>
      </c>
    </row>
    <row r="42" spans="2:10" ht="99.75" x14ac:dyDescent="0.25">
      <c r="B42" s="44" t="s">
        <v>1201</v>
      </c>
      <c r="C42" s="30" t="s">
        <v>1202</v>
      </c>
      <c r="D42" s="46">
        <v>12</v>
      </c>
      <c r="E42" s="44" t="s">
        <v>719</v>
      </c>
      <c r="F42" s="45" t="s">
        <v>720</v>
      </c>
      <c r="G42" s="49">
        <v>38.729999999999997</v>
      </c>
      <c r="H42" s="45" t="s">
        <v>720</v>
      </c>
      <c r="I42" s="48">
        <v>464.76</v>
      </c>
      <c r="J42" s="19">
        <f t="shared" si="0"/>
        <v>50.348999999999997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F9F2-A904-47E1-AB8B-35034C3F0FB0}">
  <dimension ref="B1:J21"/>
  <sheetViews>
    <sheetView workbookViewId="0">
      <selection activeCell="B1" sqref="B1:J21"/>
    </sheetView>
  </sheetViews>
  <sheetFormatPr baseColWidth="10" defaultRowHeight="15" x14ac:dyDescent="0.25"/>
  <cols>
    <col min="10" max="10" width="19.7109375" customWidth="1"/>
  </cols>
  <sheetData>
    <row r="1" spans="2:10" x14ac:dyDescent="0.25">
      <c r="B1" s="14"/>
      <c r="C1" s="14"/>
      <c r="D1" s="14"/>
      <c r="E1" s="14"/>
      <c r="F1" s="14"/>
      <c r="G1" s="15" t="s">
        <v>713</v>
      </c>
      <c r="H1" s="14"/>
      <c r="I1" s="14"/>
      <c r="J1" s="15" t="s">
        <v>715</v>
      </c>
    </row>
    <row r="2" spans="2:10" ht="89.25" x14ac:dyDescent="0.25">
      <c r="B2" s="21" t="s">
        <v>1203</v>
      </c>
      <c r="C2" s="30" t="s">
        <v>1242</v>
      </c>
      <c r="D2" s="38">
        <v>12</v>
      </c>
      <c r="E2" s="21" t="s">
        <v>719</v>
      </c>
      <c r="F2" s="22" t="s">
        <v>720</v>
      </c>
      <c r="G2" s="55">
        <v>31.08</v>
      </c>
      <c r="H2" s="22" t="s">
        <v>720</v>
      </c>
      <c r="I2" s="39">
        <v>372.96</v>
      </c>
      <c r="J2" s="19">
        <f>(G2*1.3)</f>
        <v>40.403999999999996</v>
      </c>
    </row>
    <row r="3" spans="2:10" ht="51" x14ac:dyDescent="0.25">
      <c r="B3" s="21" t="s">
        <v>1204</v>
      </c>
      <c r="C3" s="22" t="s">
        <v>1205</v>
      </c>
      <c r="D3" s="59">
        <v>4000</v>
      </c>
      <c r="E3" s="21" t="s">
        <v>719</v>
      </c>
      <c r="F3" s="22" t="s">
        <v>720</v>
      </c>
      <c r="G3" s="25">
        <v>0.43</v>
      </c>
      <c r="H3" s="22" t="s">
        <v>720</v>
      </c>
      <c r="I3" s="42">
        <v>1720</v>
      </c>
      <c r="J3" s="19">
        <f>(G3*2)</f>
        <v>0.86</v>
      </c>
    </row>
    <row r="4" spans="2:10" ht="51" x14ac:dyDescent="0.25">
      <c r="B4" s="21" t="s">
        <v>1206</v>
      </c>
      <c r="C4" s="22" t="s">
        <v>1207</v>
      </c>
      <c r="D4" s="59">
        <v>2400</v>
      </c>
      <c r="E4" s="21" t="s">
        <v>719</v>
      </c>
      <c r="F4" s="22" t="s">
        <v>720</v>
      </c>
      <c r="G4" s="25">
        <v>0.74</v>
      </c>
      <c r="H4" s="22" t="s">
        <v>720</v>
      </c>
      <c r="I4" s="42">
        <v>1776</v>
      </c>
      <c r="J4" s="19">
        <f t="shared" ref="J4:J21" si="0">(G4*2)</f>
        <v>1.48</v>
      </c>
    </row>
    <row r="5" spans="2:10" ht="51" x14ac:dyDescent="0.25">
      <c r="B5" s="21" t="s">
        <v>1208</v>
      </c>
      <c r="C5" s="22" t="s">
        <v>1209</v>
      </c>
      <c r="D5" s="59">
        <v>1600</v>
      </c>
      <c r="E5" s="21" t="s">
        <v>719</v>
      </c>
      <c r="F5" s="22" t="s">
        <v>720</v>
      </c>
      <c r="G5" s="25">
        <v>0.88</v>
      </c>
      <c r="H5" s="22" t="s">
        <v>720</v>
      </c>
      <c r="I5" s="42">
        <v>1408</v>
      </c>
      <c r="J5" s="19">
        <f t="shared" si="0"/>
        <v>1.76</v>
      </c>
    </row>
    <row r="6" spans="2:10" ht="51" x14ac:dyDescent="0.25">
      <c r="B6" s="21" t="s">
        <v>1210</v>
      </c>
      <c r="C6" s="22" t="s">
        <v>1211</v>
      </c>
      <c r="D6" s="59">
        <v>1200</v>
      </c>
      <c r="E6" s="21" t="s">
        <v>719</v>
      </c>
      <c r="F6" s="22" t="s">
        <v>720</v>
      </c>
      <c r="G6" s="25">
        <v>1.22</v>
      </c>
      <c r="H6" s="22" t="s">
        <v>720</v>
      </c>
      <c r="I6" s="42">
        <v>1464</v>
      </c>
      <c r="J6" s="19">
        <f t="shared" si="0"/>
        <v>2.44</v>
      </c>
    </row>
    <row r="7" spans="2:10" ht="51" x14ac:dyDescent="0.25">
      <c r="B7" s="21" t="s">
        <v>1212</v>
      </c>
      <c r="C7" s="22" t="s">
        <v>1213</v>
      </c>
      <c r="D7" s="59">
        <v>4000</v>
      </c>
      <c r="E7" s="21" t="s">
        <v>719</v>
      </c>
      <c r="F7" s="22" t="s">
        <v>720</v>
      </c>
      <c r="G7" s="25">
        <v>0.39</v>
      </c>
      <c r="H7" s="22" t="s">
        <v>720</v>
      </c>
      <c r="I7" s="42">
        <v>1560</v>
      </c>
      <c r="J7" s="19">
        <f t="shared" si="0"/>
        <v>0.78</v>
      </c>
    </row>
    <row r="8" spans="2:10" ht="51" x14ac:dyDescent="0.25">
      <c r="B8" s="21" t="s">
        <v>1214</v>
      </c>
      <c r="C8" s="22" t="s">
        <v>1215</v>
      </c>
      <c r="D8" s="59">
        <v>3200</v>
      </c>
      <c r="E8" s="21" t="s">
        <v>719</v>
      </c>
      <c r="F8" s="22" t="s">
        <v>720</v>
      </c>
      <c r="G8" s="25">
        <v>0.64</v>
      </c>
      <c r="H8" s="22" t="s">
        <v>720</v>
      </c>
      <c r="I8" s="42">
        <v>2048</v>
      </c>
      <c r="J8" s="19">
        <f t="shared" si="0"/>
        <v>1.28</v>
      </c>
    </row>
    <row r="9" spans="2:10" ht="51" x14ac:dyDescent="0.25">
      <c r="B9" s="21" t="s">
        <v>1216</v>
      </c>
      <c r="C9" s="22" t="s">
        <v>1217</v>
      </c>
      <c r="D9" s="59">
        <v>2000</v>
      </c>
      <c r="E9" s="21" t="s">
        <v>719</v>
      </c>
      <c r="F9" s="22" t="s">
        <v>720</v>
      </c>
      <c r="G9" s="25">
        <v>0.77</v>
      </c>
      <c r="H9" s="22" t="s">
        <v>720</v>
      </c>
      <c r="I9" s="42">
        <v>1540</v>
      </c>
      <c r="J9" s="19">
        <f t="shared" si="0"/>
        <v>1.54</v>
      </c>
    </row>
    <row r="10" spans="2:10" ht="63.75" x14ac:dyDescent="0.25">
      <c r="B10" s="21" t="s">
        <v>1218</v>
      </c>
      <c r="C10" s="22" t="s">
        <v>1219</v>
      </c>
      <c r="D10" s="59">
        <v>2000</v>
      </c>
      <c r="E10" s="21" t="s">
        <v>719</v>
      </c>
      <c r="F10" s="22" t="s">
        <v>720</v>
      </c>
      <c r="G10" s="25">
        <v>0.82</v>
      </c>
      <c r="H10" s="22" t="s">
        <v>720</v>
      </c>
      <c r="I10" s="42">
        <v>1640</v>
      </c>
      <c r="J10" s="19">
        <f t="shared" si="0"/>
        <v>1.64</v>
      </c>
    </row>
    <row r="11" spans="2:10" ht="38.25" x14ac:dyDescent="0.25">
      <c r="B11" s="21" t="s">
        <v>1220</v>
      </c>
      <c r="C11" s="22" t="s">
        <v>1221</v>
      </c>
      <c r="D11" s="59">
        <v>4000</v>
      </c>
      <c r="E11" s="21" t="s">
        <v>719</v>
      </c>
      <c r="F11" s="22" t="s">
        <v>720</v>
      </c>
      <c r="G11" s="25">
        <v>0.41</v>
      </c>
      <c r="H11" s="22" t="s">
        <v>720</v>
      </c>
      <c r="I11" s="42">
        <v>1640</v>
      </c>
      <c r="J11" s="19">
        <f t="shared" si="0"/>
        <v>0.82</v>
      </c>
    </row>
    <row r="12" spans="2:10" ht="38.25" x14ac:dyDescent="0.25">
      <c r="B12" s="21" t="s">
        <v>1222</v>
      </c>
      <c r="C12" s="22" t="s">
        <v>1223</v>
      </c>
      <c r="D12" s="59">
        <v>2400</v>
      </c>
      <c r="E12" s="21" t="s">
        <v>719</v>
      </c>
      <c r="F12" s="22" t="s">
        <v>720</v>
      </c>
      <c r="G12" s="25">
        <v>0.76</v>
      </c>
      <c r="H12" s="22" t="s">
        <v>720</v>
      </c>
      <c r="I12" s="42">
        <v>1824</v>
      </c>
      <c r="J12" s="19">
        <f t="shared" si="0"/>
        <v>1.52</v>
      </c>
    </row>
    <row r="13" spans="2:10" ht="38.25" x14ac:dyDescent="0.25">
      <c r="B13" s="21" t="s">
        <v>1224</v>
      </c>
      <c r="C13" s="22" t="s">
        <v>1225</v>
      </c>
      <c r="D13" s="59">
        <v>1600</v>
      </c>
      <c r="E13" s="21" t="s">
        <v>719</v>
      </c>
      <c r="F13" s="22" t="s">
        <v>720</v>
      </c>
      <c r="G13" s="25">
        <v>0.88</v>
      </c>
      <c r="H13" s="22" t="s">
        <v>720</v>
      </c>
      <c r="I13" s="42">
        <v>1408</v>
      </c>
      <c r="J13" s="19">
        <f t="shared" si="0"/>
        <v>1.76</v>
      </c>
    </row>
    <row r="14" spans="2:10" ht="38.25" x14ac:dyDescent="0.25">
      <c r="B14" s="21" t="s">
        <v>1226</v>
      </c>
      <c r="C14" s="22" t="s">
        <v>1227</v>
      </c>
      <c r="D14" s="59">
        <v>1200</v>
      </c>
      <c r="E14" s="21" t="s">
        <v>719</v>
      </c>
      <c r="F14" s="22" t="s">
        <v>720</v>
      </c>
      <c r="G14" s="25">
        <v>1.1100000000000001</v>
      </c>
      <c r="H14" s="22" t="s">
        <v>720</v>
      </c>
      <c r="I14" s="42">
        <v>1332</v>
      </c>
      <c r="J14" s="19">
        <f t="shared" si="0"/>
        <v>2.2200000000000002</v>
      </c>
    </row>
    <row r="15" spans="2:10" ht="51" x14ac:dyDescent="0.25">
      <c r="B15" s="21" t="s">
        <v>1228</v>
      </c>
      <c r="C15" s="22" t="s">
        <v>1229</v>
      </c>
      <c r="D15" s="59">
        <v>3200</v>
      </c>
      <c r="E15" s="21" t="s">
        <v>719</v>
      </c>
      <c r="F15" s="22" t="s">
        <v>720</v>
      </c>
      <c r="G15" s="25">
        <v>0.62</v>
      </c>
      <c r="H15" s="22" t="s">
        <v>720</v>
      </c>
      <c r="I15" s="42">
        <v>1984</v>
      </c>
      <c r="J15" s="19">
        <f t="shared" si="0"/>
        <v>1.24</v>
      </c>
    </row>
    <row r="16" spans="2:10" ht="51" x14ac:dyDescent="0.25">
      <c r="B16" s="21" t="s">
        <v>1230</v>
      </c>
      <c r="C16" s="22" t="s">
        <v>1231</v>
      </c>
      <c r="D16" s="59">
        <v>2000</v>
      </c>
      <c r="E16" s="21" t="s">
        <v>719</v>
      </c>
      <c r="F16" s="22" t="s">
        <v>720</v>
      </c>
      <c r="G16" s="25">
        <v>0.78</v>
      </c>
      <c r="H16" s="22" t="s">
        <v>720</v>
      </c>
      <c r="I16" s="42">
        <v>1560</v>
      </c>
      <c r="J16" s="19">
        <f t="shared" si="0"/>
        <v>1.56</v>
      </c>
    </row>
    <row r="17" spans="2:10" ht="51" x14ac:dyDescent="0.25">
      <c r="B17" s="21" t="s">
        <v>1232</v>
      </c>
      <c r="C17" s="22" t="s">
        <v>1233</v>
      </c>
      <c r="D17" s="59">
        <v>1200</v>
      </c>
      <c r="E17" s="21" t="s">
        <v>719</v>
      </c>
      <c r="F17" s="22" t="s">
        <v>720</v>
      </c>
      <c r="G17" s="25">
        <v>1.04</v>
      </c>
      <c r="H17" s="22" t="s">
        <v>720</v>
      </c>
      <c r="I17" s="42">
        <v>1248</v>
      </c>
      <c r="J17" s="19">
        <f t="shared" si="0"/>
        <v>2.08</v>
      </c>
    </row>
    <row r="18" spans="2:10" ht="51" x14ac:dyDescent="0.25">
      <c r="B18" s="21" t="s">
        <v>1234</v>
      </c>
      <c r="C18" s="22" t="s">
        <v>1235</v>
      </c>
      <c r="D18" s="59">
        <v>24000</v>
      </c>
      <c r="E18" s="21" t="s">
        <v>719</v>
      </c>
      <c r="F18" s="22" t="s">
        <v>720</v>
      </c>
      <c r="G18" s="25">
        <v>0.1</v>
      </c>
      <c r="H18" s="22" t="s">
        <v>720</v>
      </c>
      <c r="I18" s="42">
        <v>2400</v>
      </c>
      <c r="J18" s="19">
        <f>(G18*5)</f>
        <v>0.5</v>
      </c>
    </row>
    <row r="19" spans="2:10" ht="51" x14ac:dyDescent="0.25">
      <c r="B19" s="21" t="s">
        <v>1236</v>
      </c>
      <c r="C19" s="22" t="s">
        <v>1237</v>
      </c>
      <c r="D19" s="59">
        <v>24000</v>
      </c>
      <c r="E19" s="21" t="s">
        <v>719</v>
      </c>
      <c r="F19" s="22" t="s">
        <v>720</v>
      </c>
      <c r="G19" s="25">
        <v>0.1</v>
      </c>
      <c r="H19" s="22" t="s">
        <v>720</v>
      </c>
      <c r="I19" s="42">
        <v>2032</v>
      </c>
      <c r="J19" s="19">
        <f t="shared" ref="J19:J21" si="1">(G19*5)</f>
        <v>0.5</v>
      </c>
    </row>
    <row r="20" spans="2:10" ht="51" x14ac:dyDescent="0.25">
      <c r="B20" s="21" t="s">
        <v>1238</v>
      </c>
      <c r="C20" s="22" t="s">
        <v>1239</v>
      </c>
      <c r="D20" s="59">
        <v>24000</v>
      </c>
      <c r="E20" s="21" t="s">
        <v>719</v>
      </c>
      <c r="F20" s="22" t="s">
        <v>720</v>
      </c>
      <c r="G20" s="25">
        <v>0.1</v>
      </c>
      <c r="H20" s="22" t="s">
        <v>720</v>
      </c>
      <c r="I20" s="42">
        <v>2125.6</v>
      </c>
      <c r="J20" s="19">
        <f t="shared" si="1"/>
        <v>0.5</v>
      </c>
    </row>
    <row r="21" spans="2:10" ht="51" x14ac:dyDescent="0.25">
      <c r="B21" s="21" t="s">
        <v>1240</v>
      </c>
      <c r="C21" s="22" t="s">
        <v>1241</v>
      </c>
      <c r="D21" s="59">
        <v>24000</v>
      </c>
      <c r="E21" s="21" t="s">
        <v>719</v>
      </c>
      <c r="F21" s="22" t="s">
        <v>720</v>
      </c>
      <c r="G21" s="25">
        <v>0.1</v>
      </c>
      <c r="H21" s="22" t="s">
        <v>720</v>
      </c>
      <c r="I21" s="42">
        <v>2219.1999999999998</v>
      </c>
      <c r="J21" s="19">
        <f t="shared" si="1"/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5A6-80B0-4F5B-BF4B-75FEFE038EDC}">
  <dimension ref="B2:C260"/>
  <sheetViews>
    <sheetView workbookViewId="0">
      <selection activeCell="B5" sqref="B5"/>
    </sheetView>
  </sheetViews>
  <sheetFormatPr baseColWidth="10" defaultRowHeight="15" x14ac:dyDescent="0.25"/>
  <cols>
    <col min="2" max="2" width="34.5703125" customWidth="1"/>
    <col min="3" max="3" width="52.140625" customWidth="1"/>
  </cols>
  <sheetData>
    <row r="2" spans="2:3" ht="21" x14ac:dyDescent="0.35">
      <c r="B2" s="13" t="s">
        <v>716</v>
      </c>
    </row>
    <row r="5" spans="2:3" x14ac:dyDescent="0.25">
      <c r="B5" s="14"/>
      <c r="C5" s="14"/>
    </row>
    <row r="6" spans="2:3" x14ac:dyDescent="0.25">
      <c r="B6" s="14"/>
      <c r="C6" s="14" t="s">
        <v>241</v>
      </c>
    </row>
    <row r="7" spans="2:3" x14ac:dyDescent="0.25">
      <c r="B7" s="14" t="s">
        <v>242</v>
      </c>
      <c r="C7" s="14" t="s">
        <v>243</v>
      </c>
    </row>
    <row r="8" spans="2:3" x14ac:dyDescent="0.25">
      <c r="B8" s="14" t="s">
        <v>244</v>
      </c>
      <c r="C8" s="14" t="s">
        <v>245</v>
      </c>
    </row>
    <row r="9" spans="2:3" x14ac:dyDescent="0.25">
      <c r="B9" s="14" t="s">
        <v>246</v>
      </c>
      <c r="C9" s="14" t="s">
        <v>247</v>
      </c>
    </row>
    <row r="10" spans="2:3" x14ac:dyDescent="0.25">
      <c r="B10" s="14"/>
      <c r="C10" s="14"/>
    </row>
    <row r="11" spans="2:3" x14ac:dyDescent="0.25">
      <c r="B11" s="14" t="s">
        <v>248</v>
      </c>
      <c r="C11" s="14" t="s">
        <v>249</v>
      </c>
    </row>
    <row r="12" spans="2:3" x14ac:dyDescent="0.25">
      <c r="B12" s="14" t="s">
        <v>252</v>
      </c>
      <c r="C12" s="14" t="s">
        <v>250</v>
      </c>
    </row>
    <row r="13" spans="2:3" x14ac:dyDescent="0.25">
      <c r="B13" s="14" t="s">
        <v>253</v>
      </c>
      <c r="C13" s="14" t="s">
        <v>251</v>
      </c>
    </row>
    <row r="14" spans="2:3" x14ac:dyDescent="0.25">
      <c r="B14" s="14"/>
      <c r="C14" s="14"/>
    </row>
    <row r="15" spans="2:3" x14ac:dyDescent="0.25">
      <c r="B15" s="14" t="s">
        <v>254</v>
      </c>
      <c r="C15" s="14" t="s">
        <v>259</v>
      </c>
    </row>
    <row r="16" spans="2:3" x14ac:dyDescent="0.25">
      <c r="B16" s="14" t="s">
        <v>255</v>
      </c>
      <c r="C16" s="14" t="s">
        <v>258</v>
      </c>
    </row>
    <row r="17" spans="2:3" x14ac:dyDescent="0.25">
      <c r="B17" s="14" t="s">
        <v>256</v>
      </c>
      <c r="C17" s="14" t="s">
        <v>257</v>
      </c>
    </row>
    <row r="18" spans="2:3" x14ac:dyDescent="0.25">
      <c r="B18" s="14"/>
      <c r="C18" s="14"/>
    </row>
    <row r="19" spans="2:3" x14ac:dyDescent="0.25">
      <c r="B19" s="14" t="s">
        <v>260</v>
      </c>
      <c r="C19" s="14" t="s">
        <v>265</v>
      </c>
    </row>
    <row r="20" spans="2:3" x14ac:dyDescent="0.25">
      <c r="B20" s="14" t="s">
        <v>261</v>
      </c>
      <c r="C20" s="14" t="s">
        <v>266</v>
      </c>
    </row>
    <row r="21" spans="2:3" x14ac:dyDescent="0.25">
      <c r="B21" s="14" t="s">
        <v>262</v>
      </c>
      <c r="C21" s="14" t="s">
        <v>269</v>
      </c>
    </row>
    <row r="22" spans="2:3" x14ac:dyDescent="0.25">
      <c r="B22" s="14" t="s">
        <v>263</v>
      </c>
      <c r="C22" s="14" t="s">
        <v>267</v>
      </c>
    </row>
    <row r="23" spans="2:3" x14ac:dyDescent="0.25">
      <c r="B23" s="14" t="s">
        <v>264</v>
      </c>
      <c r="C23" s="14" t="s">
        <v>268</v>
      </c>
    </row>
    <row r="24" spans="2:3" x14ac:dyDescent="0.25">
      <c r="B24" s="14"/>
      <c r="C24" s="14"/>
    </row>
    <row r="25" spans="2:3" x14ac:dyDescent="0.25">
      <c r="B25" s="14" t="s">
        <v>270</v>
      </c>
      <c r="C25" s="14" t="s">
        <v>272</v>
      </c>
    </row>
    <row r="26" spans="2:3" x14ac:dyDescent="0.25">
      <c r="B26" s="14" t="s">
        <v>271</v>
      </c>
      <c r="C26" s="14" t="s">
        <v>272</v>
      </c>
    </row>
    <row r="27" spans="2:3" x14ac:dyDescent="0.25">
      <c r="B27" s="14"/>
      <c r="C27" s="14"/>
    </row>
    <row r="28" spans="2:3" x14ac:dyDescent="0.25">
      <c r="B28" s="14" t="s">
        <v>273</v>
      </c>
      <c r="C28" s="14" t="s">
        <v>279</v>
      </c>
    </row>
    <row r="29" spans="2:3" x14ac:dyDescent="0.25">
      <c r="B29" s="14" t="s">
        <v>274</v>
      </c>
      <c r="C29" s="14" t="s">
        <v>280</v>
      </c>
    </row>
    <row r="30" spans="2:3" x14ac:dyDescent="0.25">
      <c r="B30" s="14" t="s">
        <v>275</v>
      </c>
      <c r="C30" s="14" t="s">
        <v>281</v>
      </c>
    </row>
    <row r="31" spans="2:3" x14ac:dyDescent="0.25">
      <c r="B31" s="14" t="s">
        <v>276</v>
      </c>
      <c r="C31" s="14" t="s">
        <v>282</v>
      </c>
    </row>
    <row r="32" spans="2:3" x14ac:dyDescent="0.25">
      <c r="B32" s="14" t="s">
        <v>277</v>
      </c>
      <c r="C32" s="14" t="s">
        <v>283</v>
      </c>
    </row>
    <row r="33" spans="2:3" x14ac:dyDescent="0.25">
      <c r="B33" s="14" t="s">
        <v>278</v>
      </c>
      <c r="C33" s="14" t="s">
        <v>284</v>
      </c>
    </row>
    <row r="34" spans="2:3" x14ac:dyDescent="0.25">
      <c r="B34" s="14"/>
      <c r="C34" s="14"/>
    </row>
    <row r="35" spans="2:3" x14ac:dyDescent="0.25">
      <c r="B35" s="14" t="s">
        <v>285</v>
      </c>
      <c r="C35" s="14" t="s">
        <v>290</v>
      </c>
    </row>
    <row r="36" spans="2:3" x14ac:dyDescent="0.25">
      <c r="B36" s="14" t="s">
        <v>286</v>
      </c>
      <c r="C36" s="14" t="s">
        <v>291</v>
      </c>
    </row>
    <row r="37" spans="2:3" x14ac:dyDescent="0.25">
      <c r="B37" s="14" t="s">
        <v>287</v>
      </c>
      <c r="C37" s="14" t="s">
        <v>292</v>
      </c>
    </row>
    <row r="38" spans="2:3" x14ac:dyDescent="0.25">
      <c r="B38" s="14" t="s">
        <v>288</v>
      </c>
      <c r="C38" s="14" t="s">
        <v>293</v>
      </c>
    </row>
    <row r="39" spans="2:3" x14ac:dyDescent="0.25">
      <c r="B39" s="14" t="s">
        <v>289</v>
      </c>
      <c r="C39" s="14" t="s">
        <v>294</v>
      </c>
    </row>
    <row r="40" spans="2:3" x14ac:dyDescent="0.25">
      <c r="B40" s="14"/>
      <c r="C40" s="14"/>
    </row>
    <row r="41" spans="2:3" x14ac:dyDescent="0.25">
      <c r="B41" s="14" t="s">
        <v>295</v>
      </c>
      <c r="C41" s="14" t="s">
        <v>296</v>
      </c>
    </row>
    <row r="42" spans="2:3" x14ac:dyDescent="0.25">
      <c r="B42" s="14" t="s">
        <v>295</v>
      </c>
      <c r="C42" s="14" t="s">
        <v>297</v>
      </c>
    </row>
    <row r="43" spans="2:3" x14ac:dyDescent="0.25">
      <c r="B43" s="14" t="s">
        <v>298</v>
      </c>
      <c r="C43" s="14" t="s">
        <v>299</v>
      </c>
    </row>
    <row r="44" spans="2:3" x14ac:dyDescent="0.25">
      <c r="B44" s="14"/>
      <c r="C44" s="14"/>
    </row>
    <row r="45" spans="2:3" x14ac:dyDescent="0.25">
      <c r="B45" s="14" t="s">
        <v>300</v>
      </c>
      <c r="C45" s="14" t="s">
        <v>301</v>
      </c>
    </row>
    <row r="46" spans="2:3" x14ac:dyDescent="0.25">
      <c r="B46" s="14" t="s">
        <v>302</v>
      </c>
      <c r="C46" s="14" t="s">
        <v>303</v>
      </c>
    </row>
    <row r="47" spans="2:3" x14ac:dyDescent="0.25">
      <c r="B47" s="14"/>
      <c r="C47" s="14"/>
    </row>
    <row r="48" spans="2:3" x14ac:dyDescent="0.25">
      <c r="B48" s="14" t="s">
        <v>304</v>
      </c>
      <c r="C48" s="14" t="s">
        <v>309</v>
      </c>
    </row>
    <row r="49" spans="2:3" x14ac:dyDescent="0.25">
      <c r="B49" s="14" t="s">
        <v>305</v>
      </c>
      <c r="C49" s="14" t="s">
        <v>310</v>
      </c>
    </row>
    <row r="50" spans="2:3" x14ac:dyDescent="0.25">
      <c r="B50" s="14" t="s">
        <v>306</v>
      </c>
      <c r="C50" s="14" t="s">
        <v>311</v>
      </c>
    </row>
    <row r="51" spans="2:3" x14ac:dyDescent="0.25">
      <c r="B51" s="14" t="s">
        <v>307</v>
      </c>
      <c r="C51" s="14" t="s">
        <v>312</v>
      </c>
    </row>
    <row r="52" spans="2:3" x14ac:dyDescent="0.25">
      <c r="B52" s="14" t="s">
        <v>308</v>
      </c>
      <c r="C52" s="14" t="s">
        <v>313</v>
      </c>
    </row>
    <row r="53" spans="2:3" x14ac:dyDescent="0.25">
      <c r="B53" s="14"/>
      <c r="C53" s="14"/>
    </row>
    <row r="54" spans="2:3" x14ac:dyDescent="0.25">
      <c r="B54" s="14" t="s">
        <v>314</v>
      </c>
      <c r="C54" s="14" t="s">
        <v>315</v>
      </c>
    </row>
    <row r="55" spans="2:3" x14ac:dyDescent="0.25">
      <c r="B55" s="14" t="s">
        <v>316</v>
      </c>
      <c r="C55" s="14" t="s">
        <v>318</v>
      </c>
    </row>
    <row r="56" spans="2:3" x14ac:dyDescent="0.25">
      <c r="B56" s="14" t="s">
        <v>317</v>
      </c>
      <c r="C56" s="14" t="s">
        <v>319</v>
      </c>
    </row>
    <row r="57" spans="2:3" x14ac:dyDescent="0.25">
      <c r="B57" s="14"/>
      <c r="C57" s="14"/>
    </row>
    <row r="58" spans="2:3" x14ac:dyDescent="0.25">
      <c r="B58" s="14" t="s">
        <v>320</v>
      </c>
      <c r="C58" s="14" t="s">
        <v>321</v>
      </c>
    </row>
    <row r="59" spans="2:3" x14ac:dyDescent="0.25">
      <c r="B59" s="14" t="s">
        <v>248</v>
      </c>
      <c r="C59" s="14" t="s">
        <v>322</v>
      </c>
    </row>
    <row r="60" spans="2:3" x14ac:dyDescent="0.25">
      <c r="B60" s="14"/>
      <c r="C60" s="14"/>
    </row>
    <row r="61" spans="2:3" x14ac:dyDescent="0.25">
      <c r="B61" s="14" t="s">
        <v>323</v>
      </c>
      <c r="C61" s="14" t="s">
        <v>325</v>
      </c>
    </row>
    <row r="62" spans="2:3" x14ac:dyDescent="0.25">
      <c r="B62" s="14" t="s">
        <v>324</v>
      </c>
      <c r="C62" s="14" t="s">
        <v>326</v>
      </c>
    </row>
    <row r="63" spans="2:3" x14ac:dyDescent="0.25">
      <c r="B63" s="14"/>
      <c r="C63" s="14"/>
    </row>
    <row r="64" spans="2:3" x14ac:dyDescent="0.25">
      <c r="B64" s="14"/>
      <c r="C64" s="15" t="s">
        <v>327</v>
      </c>
    </row>
    <row r="65" spans="2:3" x14ac:dyDescent="0.25">
      <c r="B65" s="14"/>
      <c r="C65" s="14"/>
    </row>
    <row r="66" spans="2:3" x14ac:dyDescent="0.25">
      <c r="B66" s="14" t="s">
        <v>328</v>
      </c>
      <c r="C66" s="14" t="s">
        <v>341</v>
      </c>
    </row>
    <row r="67" spans="2:3" x14ac:dyDescent="0.25">
      <c r="B67" s="14" t="s">
        <v>329</v>
      </c>
      <c r="C67" s="14" t="s">
        <v>340</v>
      </c>
    </row>
    <row r="68" spans="2:3" x14ac:dyDescent="0.25">
      <c r="B68" s="14" t="s">
        <v>330</v>
      </c>
      <c r="C68" s="14" t="s">
        <v>339</v>
      </c>
    </row>
    <row r="69" spans="2:3" x14ac:dyDescent="0.25">
      <c r="B69" s="14" t="s">
        <v>331</v>
      </c>
      <c r="C69" s="14" t="s">
        <v>337</v>
      </c>
    </row>
    <row r="70" spans="2:3" x14ac:dyDescent="0.25">
      <c r="B70" s="14" t="s">
        <v>332</v>
      </c>
      <c r="C70" s="14" t="s">
        <v>336</v>
      </c>
    </row>
    <row r="71" spans="2:3" x14ac:dyDescent="0.25">
      <c r="B71" s="14" t="s">
        <v>333</v>
      </c>
      <c r="C71" s="14" t="s">
        <v>335</v>
      </c>
    </row>
    <row r="72" spans="2:3" x14ac:dyDescent="0.25">
      <c r="B72" s="14" t="s">
        <v>334</v>
      </c>
      <c r="C72" s="14" t="s">
        <v>338</v>
      </c>
    </row>
    <row r="73" spans="2:3" x14ac:dyDescent="0.25">
      <c r="B73" s="14"/>
      <c r="C73" s="14"/>
    </row>
    <row r="74" spans="2:3" x14ac:dyDescent="0.25">
      <c r="B74" s="14"/>
      <c r="C74" s="15" t="s">
        <v>342</v>
      </c>
    </row>
    <row r="75" spans="2:3" x14ac:dyDescent="0.25">
      <c r="B75" s="14"/>
      <c r="C75" s="14"/>
    </row>
    <row r="76" spans="2:3" x14ac:dyDescent="0.25">
      <c r="B76" s="14"/>
      <c r="C76" s="14" t="s">
        <v>343</v>
      </c>
    </row>
    <row r="77" spans="2:3" x14ac:dyDescent="0.25">
      <c r="B77" s="14"/>
      <c r="C77" s="14" t="s">
        <v>344</v>
      </c>
    </row>
    <row r="78" spans="2:3" x14ac:dyDescent="0.25">
      <c r="B78" s="14"/>
      <c r="C78" s="14" t="s">
        <v>345</v>
      </c>
    </row>
    <row r="79" spans="2:3" x14ac:dyDescent="0.25">
      <c r="B79" s="14"/>
      <c r="C79" s="14" t="s">
        <v>346</v>
      </c>
    </row>
    <row r="80" spans="2:3" x14ac:dyDescent="0.25">
      <c r="B80" s="14"/>
      <c r="C80" s="14" t="s">
        <v>347</v>
      </c>
    </row>
    <row r="81" spans="2:3" x14ac:dyDescent="0.25">
      <c r="B81" s="14"/>
      <c r="C81" s="14"/>
    </row>
    <row r="82" spans="2:3" x14ac:dyDescent="0.25">
      <c r="B82" s="14"/>
      <c r="C82" s="15" t="s">
        <v>366</v>
      </c>
    </row>
    <row r="83" spans="2:3" x14ac:dyDescent="0.25">
      <c r="B83" s="14"/>
      <c r="C83" s="14"/>
    </row>
    <row r="84" spans="2:3" x14ac:dyDescent="0.25">
      <c r="B84" s="14" t="s">
        <v>348</v>
      </c>
      <c r="C84" s="14" t="s">
        <v>357</v>
      </c>
    </row>
    <row r="85" spans="2:3" x14ac:dyDescent="0.25">
      <c r="B85" s="14" t="s">
        <v>349</v>
      </c>
      <c r="C85" s="14" t="s">
        <v>358</v>
      </c>
    </row>
    <row r="86" spans="2:3" x14ac:dyDescent="0.25">
      <c r="B86" s="14" t="s">
        <v>350</v>
      </c>
      <c r="C86" s="14" t="s">
        <v>359</v>
      </c>
    </row>
    <row r="87" spans="2:3" x14ac:dyDescent="0.25">
      <c r="B87" s="14" t="s">
        <v>351</v>
      </c>
      <c r="C87" s="14" t="s">
        <v>360</v>
      </c>
    </row>
    <row r="88" spans="2:3" x14ac:dyDescent="0.25">
      <c r="B88" s="14" t="s">
        <v>352</v>
      </c>
      <c r="C88" s="14" t="s">
        <v>361</v>
      </c>
    </row>
    <row r="89" spans="2:3" x14ac:dyDescent="0.25">
      <c r="B89" s="14" t="s">
        <v>353</v>
      </c>
      <c r="C89" s="14" t="s">
        <v>362</v>
      </c>
    </row>
    <row r="90" spans="2:3" x14ac:dyDescent="0.25">
      <c r="B90" s="14" t="s">
        <v>354</v>
      </c>
      <c r="C90" s="14" t="s">
        <v>363</v>
      </c>
    </row>
    <row r="91" spans="2:3" x14ac:dyDescent="0.25">
      <c r="B91" s="14" t="s">
        <v>355</v>
      </c>
      <c r="C91" s="14" t="s">
        <v>364</v>
      </c>
    </row>
    <row r="92" spans="2:3" x14ac:dyDescent="0.25">
      <c r="B92" s="14" t="s">
        <v>356</v>
      </c>
      <c r="C92" s="14" t="s">
        <v>365</v>
      </c>
    </row>
    <row r="93" spans="2:3" x14ac:dyDescent="0.25">
      <c r="B93" s="14"/>
      <c r="C93" s="14"/>
    </row>
    <row r="94" spans="2:3" x14ac:dyDescent="0.25">
      <c r="B94" s="14"/>
      <c r="C94" s="15" t="s">
        <v>367</v>
      </c>
    </row>
    <row r="95" spans="2:3" x14ac:dyDescent="0.25">
      <c r="B95" s="14" t="s">
        <v>368</v>
      </c>
      <c r="C95" s="14" t="s">
        <v>376</v>
      </c>
    </row>
    <row r="96" spans="2:3" x14ac:dyDescent="0.25">
      <c r="B96" s="14" t="s">
        <v>369</v>
      </c>
      <c r="C96" s="14" t="s">
        <v>377</v>
      </c>
    </row>
    <row r="97" spans="2:3" x14ac:dyDescent="0.25">
      <c r="B97" s="14" t="s">
        <v>370</v>
      </c>
      <c r="C97" s="14" t="s">
        <v>378</v>
      </c>
    </row>
    <row r="98" spans="2:3" x14ac:dyDescent="0.25">
      <c r="B98" s="14" t="s">
        <v>371</v>
      </c>
      <c r="C98" s="14" t="s">
        <v>379</v>
      </c>
    </row>
    <row r="99" spans="2:3" x14ac:dyDescent="0.25">
      <c r="B99" s="14" t="s">
        <v>372</v>
      </c>
      <c r="C99" s="14" t="s">
        <v>380</v>
      </c>
    </row>
    <row r="100" spans="2:3" x14ac:dyDescent="0.25">
      <c r="B100" s="14" t="s">
        <v>373</v>
      </c>
      <c r="C100" s="14" t="s">
        <v>381</v>
      </c>
    </row>
    <row r="101" spans="2:3" x14ac:dyDescent="0.25">
      <c r="B101" s="14" t="s">
        <v>374</v>
      </c>
      <c r="C101" s="14" t="s">
        <v>382</v>
      </c>
    </row>
    <row r="102" spans="2:3" x14ac:dyDescent="0.25">
      <c r="B102" s="14" t="s">
        <v>375</v>
      </c>
      <c r="C102" s="14" t="s">
        <v>383</v>
      </c>
    </row>
    <row r="103" spans="2:3" x14ac:dyDescent="0.25">
      <c r="B103" s="14"/>
      <c r="C103" s="14"/>
    </row>
    <row r="104" spans="2:3" x14ac:dyDescent="0.25">
      <c r="B104" s="14" t="s">
        <v>384</v>
      </c>
      <c r="C104" s="14" t="s">
        <v>393</v>
      </c>
    </row>
    <row r="105" spans="2:3" x14ac:dyDescent="0.25">
      <c r="B105" s="14" t="s">
        <v>385</v>
      </c>
      <c r="C105" s="14" t="s">
        <v>394</v>
      </c>
    </row>
    <row r="106" spans="2:3" x14ac:dyDescent="0.25">
      <c r="B106" s="14" t="s">
        <v>386</v>
      </c>
      <c r="C106" s="14" t="s">
        <v>395</v>
      </c>
    </row>
    <row r="107" spans="2:3" x14ac:dyDescent="0.25">
      <c r="B107" s="14" t="s">
        <v>387</v>
      </c>
      <c r="C107" s="14" t="s">
        <v>396</v>
      </c>
    </row>
    <row r="108" spans="2:3" x14ac:dyDescent="0.25">
      <c r="B108" s="14" t="s">
        <v>388</v>
      </c>
      <c r="C108" s="14" t="s">
        <v>397</v>
      </c>
    </row>
    <row r="109" spans="2:3" x14ac:dyDescent="0.25">
      <c r="B109" s="14" t="s">
        <v>389</v>
      </c>
      <c r="C109" s="14" t="s">
        <v>398</v>
      </c>
    </row>
    <row r="110" spans="2:3" x14ac:dyDescent="0.25">
      <c r="B110" s="14" t="s">
        <v>390</v>
      </c>
      <c r="C110" s="14" t="s">
        <v>399</v>
      </c>
    </row>
    <row r="111" spans="2:3" x14ac:dyDescent="0.25">
      <c r="B111" s="14" t="s">
        <v>391</v>
      </c>
      <c r="C111" s="14" t="s">
        <v>400</v>
      </c>
    </row>
    <row r="112" spans="2:3" x14ac:dyDescent="0.25">
      <c r="B112" s="14" t="s">
        <v>392</v>
      </c>
      <c r="C112" s="14" t="s">
        <v>401</v>
      </c>
    </row>
    <row r="113" spans="2:3" x14ac:dyDescent="0.25">
      <c r="B113" s="14"/>
      <c r="C113" s="14"/>
    </row>
    <row r="114" spans="2:3" x14ac:dyDescent="0.25">
      <c r="B114" s="14"/>
      <c r="C114" s="14" t="s">
        <v>402</v>
      </c>
    </row>
    <row r="115" spans="2:3" x14ac:dyDescent="0.25">
      <c r="B115" s="14"/>
      <c r="C115" s="14" t="s">
        <v>403</v>
      </c>
    </row>
    <row r="116" spans="2:3" x14ac:dyDescent="0.25">
      <c r="B116" s="14"/>
      <c r="C116" s="14" t="s">
        <v>404</v>
      </c>
    </row>
    <row r="117" spans="2:3" x14ac:dyDescent="0.25">
      <c r="B117" s="14"/>
      <c r="C117" s="14" t="s">
        <v>405</v>
      </c>
    </row>
    <row r="118" spans="2:3" x14ac:dyDescent="0.25">
      <c r="B118" s="14"/>
      <c r="C118" s="14" t="s">
        <v>406</v>
      </c>
    </row>
    <row r="119" spans="2:3" x14ac:dyDescent="0.25">
      <c r="B119" s="14"/>
      <c r="C119" s="14" t="s">
        <v>407</v>
      </c>
    </row>
    <row r="120" spans="2:3" x14ac:dyDescent="0.25">
      <c r="B120" s="14"/>
      <c r="C120" s="14" t="s">
        <v>408</v>
      </c>
    </row>
    <row r="121" spans="2:3" x14ac:dyDescent="0.25">
      <c r="B121" s="14"/>
      <c r="C121" s="14" t="s">
        <v>409</v>
      </c>
    </row>
    <row r="122" spans="2:3" x14ac:dyDescent="0.25">
      <c r="B122" s="14"/>
      <c r="C122" s="14"/>
    </row>
    <row r="123" spans="2:3" x14ac:dyDescent="0.25">
      <c r="B123" s="14" t="s">
        <v>411</v>
      </c>
      <c r="C123" s="14" t="s">
        <v>410</v>
      </c>
    </row>
    <row r="124" spans="2:3" x14ac:dyDescent="0.25">
      <c r="B124" s="14" t="s">
        <v>412</v>
      </c>
      <c r="C124" s="14" t="s">
        <v>413</v>
      </c>
    </row>
    <row r="125" spans="2:3" x14ac:dyDescent="0.25">
      <c r="B125" s="14" t="s">
        <v>414</v>
      </c>
      <c r="C125" s="14" t="s">
        <v>415</v>
      </c>
    </row>
    <row r="126" spans="2:3" x14ac:dyDescent="0.25">
      <c r="B126" s="14"/>
      <c r="C126" s="14"/>
    </row>
    <row r="127" spans="2:3" x14ac:dyDescent="0.25">
      <c r="B127" s="14" t="s">
        <v>416</v>
      </c>
      <c r="C127" s="14" t="s">
        <v>417</v>
      </c>
    </row>
    <row r="128" spans="2:3" x14ac:dyDescent="0.25">
      <c r="B128" s="14"/>
      <c r="C128" s="14"/>
    </row>
    <row r="129" spans="2:3" x14ac:dyDescent="0.25">
      <c r="B129" s="14"/>
      <c r="C129" s="14"/>
    </row>
    <row r="130" spans="2:3" x14ac:dyDescent="0.25">
      <c r="B130" s="14" t="s">
        <v>418</v>
      </c>
      <c r="C130" s="14" t="s">
        <v>425</v>
      </c>
    </row>
    <row r="131" spans="2:3" x14ac:dyDescent="0.25">
      <c r="B131" s="14" t="s">
        <v>419</v>
      </c>
      <c r="C131" s="14" t="s">
        <v>426</v>
      </c>
    </row>
    <row r="132" spans="2:3" x14ac:dyDescent="0.25">
      <c r="B132" s="14" t="s">
        <v>420</v>
      </c>
      <c r="C132" s="14" t="s">
        <v>427</v>
      </c>
    </row>
    <row r="133" spans="2:3" x14ac:dyDescent="0.25">
      <c r="B133" s="14" t="s">
        <v>421</v>
      </c>
      <c r="C133" s="14" t="s">
        <v>428</v>
      </c>
    </row>
    <row r="134" spans="2:3" x14ac:dyDescent="0.25">
      <c r="B134" s="14" t="s">
        <v>422</v>
      </c>
      <c r="C134" s="14" t="s">
        <v>429</v>
      </c>
    </row>
    <row r="135" spans="2:3" x14ac:dyDescent="0.25">
      <c r="B135" s="14" t="s">
        <v>423</v>
      </c>
      <c r="C135" s="14" t="s">
        <v>431</v>
      </c>
    </row>
    <row r="136" spans="2:3" x14ac:dyDescent="0.25">
      <c r="B136" s="14" t="s">
        <v>424</v>
      </c>
      <c r="C136" s="14" t="s">
        <v>430</v>
      </c>
    </row>
    <row r="137" spans="2:3" x14ac:dyDescent="0.25">
      <c r="B137" s="14"/>
      <c r="C137" s="14"/>
    </row>
    <row r="138" spans="2:3" x14ac:dyDescent="0.25">
      <c r="B138" s="14" t="s">
        <v>432</v>
      </c>
      <c r="C138" s="14" t="s">
        <v>433</v>
      </c>
    </row>
    <row r="139" spans="2:3" x14ac:dyDescent="0.25">
      <c r="B139" s="14" t="s">
        <v>434</v>
      </c>
      <c r="C139" s="14" t="s">
        <v>435</v>
      </c>
    </row>
    <row r="140" spans="2:3" x14ac:dyDescent="0.25">
      <c r="B140" s="14"/>
      <c r="C140" s="14"/>
    </row>
    <row r="141" spans="2:3" x14ac:dyDescent="0.25">
      <c r="B141" s="14" t="s">
        <v>436</v>
      </c>
      <c r="C141" s="14" t="s">
        <v>437</v>
      </c>
    </row>
    <row r="142" spans="2:3" x14ac:dyDescent="0.25">
      <c r="B142" s="14"/>
      <c r="C142" s="14"/>
    </row>
    <row r="143" spans="2:3" x14ac:dyDescent="0.25">
      <c r="B143" s="14" t="s">
        <v>438</v>
      </c>
      <c r="C143" s="14" t="s">
        <v>440</v>
      </c>
    </row>
    <row r="144" spans="2:3" x14ac:dyDescent="0.25">
      <c r="B144" s="14" t="s">
        <v>439</v>
      </c>
      <c r="C144" s="14" t="s">
        <v>441</v>
      </c>
    </row>
    <row r="145" spans="2:3" x14ac:dyDescent="0.25">
      <c r="B145" s="14" t="s">
        <v>442</v>
      </c>
      <c r="C145" s="14" t="s">
        <v>443</v>
      </c>
    </row>
    <row r="146" spans="2:3" x14ac:dyDescent="0.25">
      <c r="B146" s="14"/>
      <c r="C146" s="14"/>
    </row>
    <row r="147" spans="2:3" x14ac:dyDescent="0.25">
      <c r="B147" s="14" t="s">
        <v>444</v>
      </c>
      <c r="C147" s="14" t="s">
        <v>445</v>
      </c>
    </row>
    <row r="148" spans="2:3" x14ac:dyDescent="0.25">
      <c r="B148" s="14"/>
      <c r="C148" s="14"/>
    </row>
    <row r="149" spans="2:3" x14ac:dyDescent="0.25">
      <c r="B149" s="14" t="s">
        <v>447</v>
      </c>
      <c r="C149" s="14" t="s">
        <v>448</v>
      </c>
    </row>
    <row r="150" spans="2:3" x14ac:dyDescent="0.25">
      <c r="B150" s="14" t="s">
        <v>446</v>
      </c>
      <c r="C150" s="14" t="s">
        <v>449</v>
      </c>
    </row>
    <row r="151" spans="2:3" x14ac:dyDescent="0.25">
      <c r="B151" s="14" t="s">
        <v>450</v>
      </c>
      <c r="C151" s="14" t="s">
        <v>451</v>
      </c>
    </row>
    <row r="152" spans="2:3" x14ac:dyDescent="0.25">
      <c r="B152" s="14" t="s">
        <v>452</v>
      </c>
      <c r="C152" s="14" t="s">
        <v>453</v>
      </c>
    </row>
    <row r="153" spans="2:3" x14ac:dyDescent="0.25">
      <c r="B153" s="14" t="s">
        <v>454</v>
      </c>
      <c r="C153" s="14" t="s">
        <v>453</v>
      </c>
    </row>
    <row r="154" spans="2:3" x14ac:dyDescent="0.25">
      <c r="B154" s="14" t="s">
        <v>455</v>
      </c>
      <c r="C154" s="14" t="s">
        <v>456</v>
      </c>
    </row>
    <row r="155" spans="2:3" x14ac:dyDescent="0.25">
      <c r="B155" s="14" t="s">
        <v>457</v>
      </c>
      <c r="C155" s="14" t="s">
        <v>458</v>
      </c>
    </row>
    <row r="156" spans="2:3" x14ac:dyDescent="0.25">
      <c r="B156" s="14" t="s">
        <v>459</v>
      </c>
      <c r="C156" s="14" t="s">
        <v>460</v>
      </c>
    </row>
    <row r="157" spans="2:3" x14ac:dyDescent="0.25">
      <c r="B157" s="14" t="s">
        <v>461</v>
      </c>
      <c r="C157" s="14" t="s">
        <v>462</v>
      </c>
    </row>
    <row r="158" spans="2:3" x14ac:dyDescent="0.25">
      <c r="B158" s="14" t="s">
        <v>463</v>
      </c>
      <c r="C158" s="14" t="s">
        <v>464</v>
      </c>
    </row>
    <row r="159" spans="2:3" x14ac:dyDescent="0.25">
      <c r="B159" s="14" t="s">
        <v>465</v>
      </c>
      <c r="C159" s="14" t="s">
        <v>466</v>
      </c>
    </row>
    <row r="160" spans="2:3" x14ac:dyDescent="0.25">
      <c r="B160" s="14" t="s">
        <v>468</v>
      </c>
      <c r="C160" s="14" t="s">
        <v>469</v>
      </c>
    </row>
    <row r="161" spans="2:3" x14ac:dyDescent="0.25">
      <c r="B161" s="14" t="s">
        <v>467</v>
      </c>
      <c r="C161" s="14" t="s">
        <v>470</v>
      </c>
    </row>
    <row r="162" spans="2:3" x14ac:dyDescent="0.25">
      <c r="B162" s="14" t="s">
        <v>471</v>
      </c>
      <c r="C162" s="14" t="s">
        <v>472</v>
      </c>
    </row>
    <row r="163" spans="2:3" x14ac:dyDescent="0.25">
      <c r="B163" s="14" t="s">
        <v>473</v>
      </c>
      <c r="C163" s="14" t="s">
        <v>474</v>
      </c>
    </row>
    <row r="164" spans="2:3" x14ac:dyDescent="0.25">
      <c r="B164" s="14" t="s">
        <v>475</v>
      </c>
      <c r="C164" s="14" t="s">
        <v>476</v>
      </c>
    </row>
    <row r="165" spans="2:3" x14ac:dyDescent="0.25">
      <c r="B165" s="14" t="s">
        <v>477</v>
      </c>
      <c r="C165" s="14" t="s">
        <v>480</v>
      </c>
    </row>
    <row r="166" spans="2:3" x14ac:dyDescent="0.25">
      <c r="B166" s="14" t="s">
        <v>478</v>
      </c>
      <c r="C166" s="14" t="s">
        <v>481</v>
      </c>
    </row>
    <row r="167" spans="2:3" x14ac:dyDescent="0.25">
      <c r="B167" s="14" t="s">
        <v>479</v>
      </c>
      <c r="C167" s="14" t="s">
        <v>482</v>
      </c>
    </row>
    <row r="168" spans="2:3" x14ac:dyDescent="0.25">
      <c r="B168" s="14"/>
      <c r="C168" s="14"/>
    </row>
    <row r="169" spans="2:3" x14ac:dyDescent="0.25">
      <c r="B169" s="14"/>
      <c r="C169" s="15" t="s">
        <v>483</v>
      </c>
    </row>
    <row r="170" spans="2:3" x14ac:dyDescent="0.25">
      <c r="B170" s="14" t="s">
        <v>484</v>
      </c>
      <c r="C170" s="14" t="s">
        <v>485</v>
      </c>
    </row>
    <row r="171" spans="2:3" x14ac:dyDescent="0.25">
      <c r="B171" s="14" t="s">
        <v>491</v>
      </c>
      <c r="C171" s="14" t="s">
        <v>486</v>
      </c>
    </row>
    <row r="172" spans="2:3" x14ac:dyDescent="0.25">
      <c r="B172" s="14" t="s">
        <v>492</v>
      </c>
      <c r="C172" s="14" t="s">
        <v>487</v>
      </c>
    </row>
    <row r="173" spans="2:3" x14ac:dyDescent="0.25">
      <c r="B173" s="14" t="s">
        <v>493</v>
      </c>
      <c r="C173" s="14" t="s">
        <v>488</v>
      </c>
    </row>
    <row r="174" spans="2:3" x14ac:dyDescent="0.25">
      <c r="B174" s="14" t="s">
        <v>494</v>
      </c>
      <c r="C174" s="14" t="s">
        <v>489</v>
      </c>
    </row>
    <row r="175" spans="2:3" x14ac:dyDescent="0.25">
      <c r="B175" s="14" t="s">
        <v>495</v>
      </c>
      <c r="C175" s="14" t="s">
        <v>490</v>
      </c>
    </row>
    <row r="176" spans="2:3" x14ac:dyDescent="0.25">
      <c r="B176" s="14"/>
      <c r="C176" s="14"/>
    </row>
    <row r="177" spans="2:3" x14ac:dyDescent="0.25">
      <c r="B177" s="14" t="s">
        <v>502</v>
      </c>
      <c r="C177" s="14" t="s">
        <v>496</v>
      </c>
    </row>
    <row r="178" spans="2:3" x14ac:dyDescent="0.25">
      <c r="B178" s="14" t="s">
        <v>503</v>
      </c>
      <c r="C178" s="14" t="s">
        <v>497</v>
      </c>
    </row>
    <row r="179" spans="2:3" x14ac:dyDescent="0.25">
      <c r="B179" s="14" t="s">
        <v>504</v>
      </c>
      <c r="C179" s="14" t="s">
        <v>498</v>
      </c>
    </row>
    <row r="180" spans="2:3" x14ac:dyDescent="0.25">
      <c r="B180" s="14" t="s">
        <v>505</v>
      </c>
      <c r="C180" s="14" t="s">
        <v>499</v>
      </c>
    </row>
    <row r="181" spans="2:3" x14ac:dyDescent="0.25">
      <c r="B181" s="14" t="s">
        <v>506</v>
      </c>
      <c r="C181" s="14" t="s">
        <v>500</v>
      </c>
    </row>
    <row r="182" spans="2:3" x14ac:dyDescent="0.25">
      <c r="B182" s="14" t="s">
        <v>507</v>
      </c>
      <c r="C182" s="14" t="s">
        <v>501</v>
      </c>
    </row>
    <row r="183" spans="2:3" x14ac:dyDescent="0.25">
      <c r="B183" s="14"/>
      <c r="C183" s="14"/>
    </row>
    <row r="184" spans="2:3" x14ac:dyDescent="0.25">
      <c r="B184" s="14" t="s">
        <v>510</v>
      </c>
      <c r="C184" s="14" t="s">
        <v>508</v>
      </c>
    </row>
    <row r="185" spans="2:3" x14ac:dyDescent="0.25">
      <c r="B185" s="14" t="s">
        <v>511</v>
      </c>
      <c r="C185" s="14" t="s">
        <v>509</v>
      </c>
    </row>
    <row r="186" spans="2:3" x14ac:dyDescent="0.25">
      <c r="B186" s="14"/>
      <c r="C186" s="14"/>
    </row>
    <row r="187" spans="2:3" x14ac:dyDescent="0.25">
      <c r="B187" s="14" t="s">
        <v>512</v>
      </c>
      <c r="C187" s="14" t="s">
        <v>513</v>
      </c>
    </row>
    <row r="188" spans="2:3" x14ac:dyDescent="0.25">
      <c r="B188" s="14" t="s">
        <v>515</v>
      </c>
      <c r="C188" s="14" t="s">
        <v>514</v>
      </c>
    </row>
    <row r="189" spans="2:3" x14ac:dyDescent="0.25">
      <c r="B189" s="14" t="s">
        <v>518</v>
      </c>
      <c r="C189" s="14" t="s">
        <v>516</v>
      </c>
    </row>
    <row r="190" spans="2:3" x14ac:dyDescent="0.25">
      <c r="B190" s="14" t="s">
        <v>519</v>
      </c>
      <c r="C190" s="14" t="s">
        <v>517</v>
      </c>
    </row>
    <row r="191" spans="2:3" x14ac:dyDescent="0.25">
      <c r="B191" s="14" t="s">
        <v>520</v>
      </c>
      <c r="C191" s="14" t="s">
        <v>521</v>
      </c>
    </row>
    <row r="192" spans="2:3" x14ac:dyDescent="0.25">
      <c r="B192" s="14" t="s">
        <v>522</v>
      </c>
      <c r="C192" s="14" t="s">
        <v>525</v>
      </c>
    </row>
    <row r="193" spans="2:3" x14ac:dyDescent="0.25">
      <c r="B193" s="14" t="s">
        <v>523</v>
      </c>
      <c r="C193" s="14" t="s">
        <v>524</v>
      </c>
    </row>
    <row r="194" spans="2:3" x14ac:dyDescent="0.25">
      <c r="B194" s="14"/>
      <c r="C194" s="14"/>
    </row>
    <row r="195" spans="2:3" x14ac:dyDescent="0.25">
      <c r="B195" s="14" t="s">
        <v>526</v>
      </c>
      <c r="C195" s="14" t="s">
        <v>529</v>
      </c>
    </row>
    <row r="196" spans="2:3" x14ac:dyDescent="0.25">
      <c r="B196" s="14" t="s">
        <v>527</v>
      </c>
      <c r="C196" s="14" t="s">
        <v>528</v>
      </c>
    </row>
    <row r="197" spans="2:3" x14ac:dyDescent="0.25">
      <c r="B197" s="14" t="s">
        <v>530</v>
      </c>
      <c r="C197" s="14" t="s">
        <v>531</v>
      </c>
    </row>
    <row r="198" spans="2:3" x14ac:dyDescent="0.25">
      <c r="B198" s="14" t="s">
        <v>533</v>
      </c>
      <c r="C198" s="14" t="s">
        <v>532</v>
      </c>
    </row>
    <row r="199" spans="2:3" x14ac:dyDescent="0.25">
      <c r="B199" s="14"/>
      <c r="C199" s="14"/>
    </row>
    <row r="200" spans="2:3" x14ac:dyDescent="0.25">
      <c r="B200" s="14" t="s">
        <v>534</v>
      </c>
      <c r="C200" s="14" t="s">
        <v>536</v>
      </c>
    </row>
    <row r="201" spans="2:3" x14ac:dyDescent="0.25">
      <c r="B201" s="14" t="s">
        <v>535</v>
      </c>
      <c r="C201" s="14" t="s">
        <v>537</v>
      </c>
    </row>
    <row r="202" spans="2:3" x14ac:dyDescent="0.25">
      <c r="B202" s="14" t="s">
        <v>544</v>
      </c>
      <c r="C202" s="14" t="s">
        <v>538</v>
      </c>
    </row>
    <row r="203" spans="2:3" x14ac:dyDescent="0.25">
      <c r="B203" s="14" t="s">
        <v>545</v>
      </c>
      <c r="C203" s="14" t="s">
        <v>539</v>
      </c>
    </row>
    <row r="204" spans="2:3" x14ac:dyDescent="0.25">
      <c r="B204" s="14" t="s">
        <v>546</v>
      </c>
      <c r="C204" s="14" t="s">
        <v>540</v>
      </c>
    </row>
    <row r="205" spans="2:3" x14ac:dyDescent="0.25">
      <c r="B205" s="14" t="s">
        <v>547</v>
      </c>
      <c r="C205" s="14" t="s">
        <v>541</v>
      </c>
    </row>
    <row r="206" spans="2:3" x14ac:dyDescent="0.25">
      <c r="B206" s="14" t="s">
        <v>548</v>
      </c>
      <c r="C206" s="14" t="s">
        <v>542</v>
      </c>
    </row>
    <row r="207" spans="2:3" x14ac:dyDescent="0.25">
      <c r="B207" s="14" t="s">
        <v>549</v>
      </c>
      <c r="C207" s="14" t="s">
        <v>543</v>
      </c>
    </row>
    <row r="208" spans="2:3" x14ac:dyDescent="0.25">
      <c r="B208" s="14"/>
      <c r="C208" s="14"/>
    </row>
    <row r="209" spans="2:3" x14ac:dyDescent="0.25">
      <c r="B209" s="14" t="s">
        <v>551</v>
      </c>
      <c r="C209" s="14" t="s">
        <v>558</v>
      </c>
    </row>
    <row r="210" spans="2:3" x14ac:dyDescent="0.25">
      <c r="B210" s="14" t="s">
        <v>552</v>
      </c>
      <c r="C210" s="14" t="s">
        <v>559</v>
      </c>
    </row>
    <row r="211" spans="2:3" x14ac:dyDescent="0.25">
      <c r="B211" s="14" t="s">
        <v>553</v>
      </c>
      <c r="C211" s="14" t="s">
        <v>560</v>
      </c>
    </row>
    <row r="212" spans="2:3" x14ac:dyDescent="0.25">
      <c r="B212" s="14" t="s">
        <v>550</v>
      </c>
      <c r="C212" s="14" t="s">
        <v>561</v>
      </c>
    </row>
    <row r="213" spans="2:3" x14ac:dyDescent="0.25">
      <c r="B213" s="14" t="s">
        <v>554</v>
      </c>
      <c r="C213" s="14" t="s">
        <v>562</v>
      </c>
    </row>
    <row r="214" spans="2:3" x14ac:dyDescent="0.25">
      <c r="B214" s="14" t="s">
        <v>555</v>
      </c>
      <c r="C214" s="14" t="s">
        <v>563</v>
      </c>
    </row>
    <row r="215" spans="2:3" x14ac:dyDescent="0.25">
      <c r="B215" s="14" t="s">
        <v>556</v>
      </c>
      <c r="C215" s="14" t="s">
        <v>564</v>
      </c>
    </row>
    <row r="216" spans="2:3" x14ac:dyDescent="0.25">
      <c r="B216" s="14" t="s">
        <v>557</v>
      </c>
      <c r="C216" s="14" t="s">
        <v>565</v>
      </c>
    </row>
    <row r="217" spans="2:3" x14ac:dyDescent="0.25">
      <c r="B217" s="14"/>
      <c r="C217" s="14"/>
    </row>
    <row r="218" spans="2:3" x14ac:dyDescent="0.25">
      <c r="B218" s="14" t="s">
        <v>567</v>
      </c>
      <c r="C218" s="14" t="s">
        <v>566</v>
      </c>
    </row>
    <row r="219" spans="2:3" x14ac:dyDescent="0.25">
      <c r="B219" s="14" t="s">
        <v>568</v>
      </c>
      <c r="C219" s="14" t="s">
        <v>573</v>
      </c>
    </row>
    <row r="220" spans="2:3" x14ac:dyDescent="0.25">
      <c r="B220" s="14" t="s">
        <v>569</v>
      </c>
      <c r="C220" s="14" t="s">
        <v>574</v>
      </c>
    </row>
    <row r="221" spans="2:3" x14ac:dyDescent="0.25">
      <c r="B221" s="14" t="s">
        <v>570</v>
      </c>
      <c r="C221" s="14" t="s">
        <v>575</v>
      </c>
    </row>
    <row r="222" spans="2:3" x14ac:dyDescent="0.25">
      <c r="B222" s="14" t="s">
        <v>571</v>
      </c>
      <c r="C222" s="14" t="s">
        <v>566</v>
      </c>
    </row>
    <row r="223" spans="2:3" x14ac:dyDescent="0.25">
      <c r="B223" s="14" t="s">
        <v>572</v>
      </c>
      <c r="C223" s="14" t="s">
        <v>566</v>
      </c>
    </row>
    <row r="224" spans="2:3" x14ac:dyDescent="0.25">
      <c r="B224" s="14"/>
      <c r="C224" s="14"/>
    </row>
    <row r="225" spans="2:3" x14ac:dyDescent="0.25">
      <c r="B225" s="14" t="s">
        <v>576</v>
      </c>
      <c r="C225" s="14" t="s">
        <v>580</v>
      </c>
    </row>
    <row r="226" spans="2:3" x14ac:dyDescent="0.25">
      <c r="B226" s="14" t="s">
        <v>577</v>
      </c>
      <c r="C226" s="14" t="s">
        <v>581</v>
      </c>
    </row>
    <row r="227" spans="2:3" x14ac:dyDescent="0.25">
      <c r="B227" s="14" t="s">
        <v>578</v>
      </c>
      <c r="C227" s="14" t="s">
        <v>579</v>
      </c>
    </row>
    <row r="228" spans="2:3" x14ac:dyDescent="0.25">
      <c r="B228" s="14"/>
      <c r="C228" s="14"/>
    </row>
    <row r="229" spans="2:3" x14ac:dyDescent="0.25">
      <c r="B229" s="14" t="s">
        <v>582</v>
      </c>
      <c r="C229" s="14" t="s">
        <v>584</v>
      </c>
    </row>
    <row r="230" spans="2:3" x14ac:dyDescent="0.25">
      <c r="B230" s="14" t="s">
        <v>583</v>
      </c>
      <c r="C230" s="14" t="s">
        <v>585</v>
      </c>
    </row>
    <row r="231" spans="2:3" x14ac:dyDescent="0.25">
      <c r="B231" s="14" t="s">
        <v>586</v>
      </c>
      <c r="C231" s="14" t="s">
        <v>587</v>
      </c>
    </row>
    <row r="232" spans="2:3" x14ac:dyDescent="0.25">
      <c r="B232" s="14" t="s">
        <v>588</v>
      </c>
      <c r="C232" s="14" t="s">
        <v>589</v>
      </c>
    </row>
    <row r="233" spans="2:3" x14ac:dyDescent="0.25">
      <c r="B233" s="14" t="s">
        <v>590</v>
      </c>
      <c r="C233" s="14" t="s">
        <v>591</v>
      </c>
    </row>
    <row r="234" spans="2:3" x14ac:dyDescent="0.25">
      <c r="B234" s="14" t="s">
        <v>592</v>
      </c>
      <c r="C234" s="14" t="s">
        <v>593</v>
      </c>
    </row>
    <row r="235" spans="2:3" x14ac:dyDescent="0.25">
      <c r="B235" s="14"/>
      <c r="C235" s="14"/>
    </row>
    <row r="236" spans="2:3" x14ac:dyDescent="0.25">
      <c r="B236" s="14" t="s">
        <v>594</v>
      </c>
      <c r="C236" s="14" t="s">
        <v>595</v>
      </c>
    </row>
    <row r="237" spans="2:3" x14ac:dyDescent="0.25">
      <c r="B237" s="14" t="s">
        <v>596</v>
      </c>
      <c r="C237" s="14" t="s">
        <v>597</v>
      </c>
    </row>
    <row r="238" spans="2:3" x14ac:dyDescent="0.25">
      <c r="B238" s="14" t="s">
        <v>598</v>
      </c>
      <c r="C238" s="14" t="s">
        <v>599</v>
      </c>
    </row>
    <row r="239" spans="2:3" x14ac:dyDescent="0.25">
      <c r="B239" s="14" t="s">
        <v>600</v>
      </c>
      <c r="C239" s="14" t="s">
        <v>601</v>
      </c>
    </row>
    <row r="240" spans="2:3" x14ac:dyDescent="0.25">
      <c r="B240" s="14" t="s">
        <v>602</v>
      </c>
      <c r="C240" s="14" t="s">
        <v>603</v>
      </c>
    </row>
    <row r="241" spans="2:3" x14ac:dyDescent="0.25">
      <c r="B241" s="14" t="s">
        <v>604</v>
      </c>
      <c r="C241" s="14" t="s">
        <v>605</v>
      </c>
    </row>
    <row r="242" spans="2:3" x14ac:dyDescent="0.25">
      <c r="B242" s="14"/>
      <c r="C242" s="14"/>
    </row>
    <row r="243" spans="2:3" x14ac:dyDescent="0.25">
      <c r="B243" s="14" t="s">
        <v>606</v>
      </c>
      <c r="C243" s="14" t="s">
        <v>607</v>
      </c>
    </row>
    <row r="244" spans="2:3" x14ac:dyDescent="0.25">
      <c r="B244" s="14" t="s">
        <v>608</v>
      </c>
      <c r="C244" s="14" t="s">
        <v>610</v>
      </c>
    </row>
    <row r="245" spans="2:3" x14ac:dyDescent="0.25">
      <c r="B245" s="14" t="s">
        <v>609</v>
      </c>
      <c r="C245" s="14" t="s">
        <v>611</v>
      </c>
    </row>
    <row r="246" spans="2:3" x14ac:dyDescent="0.25">
      <c r="B246" s="14" t="s">
        <v>612</v>
      </c>
      <c r="C246" s="14" t="s">
        <v>613</v>
      </c>
    </row>
    <row r="247" spans="2:3" x14ac:dyDescent="0.25">
      <c r="B247" s="14" t="s">
        <v>614</v>
      </c>
      <c r="C247" s="14" t="s">
        <v>616</v>
      </c>
    </row>
    <row r="248" spans="2:3" x14ac:dyDescent="0.25">
      <c r="B248" s="14" t="s">
        <v>615</v>
      </c>
      <c r="C248" s="14" t="s">
        <v>617</v>
      </c>
    </row>
    <row r="249" spans="2:3" x14ac:dyDescent="0.25">
      <c r="B249" s="14" t="s">
        <v>618</v>
      </c>
      <c r="C249" s="14" t="s">
        <v>619</v>
      </c>
    </row>
    <row r="250" spans="2:3" x14ac:dyDescent="0.25">
      <c r="B250" s="14" t="s">
        <v>620</v>
      </c>
      <c r="C250" s="14" t="s">
        <v>621</v>
      </c>
    </row>
    <row r="251" spans="2:3" x14ac:dyDescent="0.25">
      <c r="B251" s="14" t="s">
        <v>622</v>
      </c>
      <c r="C251" s="14" t="s">
        <v>623</v>
      </c>
    </row>
    <row r="252" spans="2:3" x14ac:dyDescent="0.25">
      <c r="B252" s="14" t="s">
        <v>624</v>
      </c>
      <c r="C252" s="14" t="s">
        <v>625</v>
      </c>
    </row>
    <row r="253" spans="2:3" x14ac:dyDescent="0.25">
      <c r="B253" s="14" t="s">
        <v>626</v>
      </c>
      <c r="C253" s="14" t="s">
        <v>627</v>
      </c>
    </row>
    <row r="254" spans="2:3" x14ac:dyDescent="0.25">
      <c r="B254" s="14" t="s">
        <v>628</v>
      </c>
      <c r="C254" s="14" t="s">
        <v>630</v>
      </c>
    </row>
    <row r="255" spans="2:3" x14ac:dyDescent="0.25">
      <c r="B255" s="14" t="s">
        <v>629</v>
      </c>
      <c r="C255" s="14" t="s">
        <v>631</v>
      </c>
    </row>
    <row r="256" spans="2:3" x14ac:dyDescent="0.25">
      <c r="B256" s="14" t="s">
        <v>632</v>
      </c>
      <c r="C256" s="14" t="s">
        <v>635</v>
      </c>
    </row>
    <row r="257" spans="2:3" x14ac:dyDescent="0.25">
      <c r="B257" s="14" t="s">
        <v>633</v>
      </c>
      <c r="C257" s="14" t="s">
        <v>634</v>
      </c>
    </row>
    <row r="258" spans="2:3" x14ac:dyDescent="0.25">
      <c r="B258" s="14" t="s">
        <v>636</v>
      </c>
      <c r="C258" s="14" t="s">
        <v>637</v>
      </c>
    </row>
    <row r="259" spans="2:3" x14ac:dyDescent="0.25">
      <c r="B259" s="14" t="s">
        <v>638</v>
      </c>
      <c r="C259" s="14" t="s">
        <v>639</v>
      </c>
    </row>
    <row r="260" spans="2:3" x14ac:dyDescent="0.25">
      <c r="B260" s="14" t="s">
        <v>640</v>
      </c>
      <c r="C260" s="14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cementos,hierro,tub.pvc</vt:lpstr>
      <vt:lpstr>linea ferretera,elec</vt:lpstr>
      <vt:lpstr>electrico y herramientas</vt:lpstr>
      <vt:lpstr>elec y pvc</vt:lpstr>
      <vt:lpstr>pvc segundo precio y spray</vt:lpstr>
      <vt:lpstr>tornilleria </vt:lpstr>
      <vt:lpstr>mat.pend cotizar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Joya</dc:creator>
  <cp:lastModifiedBy>Salvador Joya</cp:lastModifiedBy>
  <dcterms:created xsi:type="dcterms:W3CDTF">2026-02-20T20:44:49Z</dcterms:created>
  <dcterms:modified xsi:type="dcterms:W3CDTF">2026-02-27T16:38:16Z</dcterms:modified>
</cp:coreProperties>
</file>